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nil\Desktop\Admin. Riesgos\"/>
    </mc:Choice>
  </mc:AlternateContent>
  <xr:revisionPtr revIDLastSave="0" documentId="13_ncr:1_{F6E90A77-B0E7-4F57-86B7-DC519F6DDAD4}" xr6:coauthVersionLast="47" xr6:coauthVersionMax="47" xr10:uidLastSave="{00000000-0000-0000-0000-000000000000}"/>
  <bookViews>
    <workbookView xWindow="11424" yWindow="0" windowWidth="11712" windowHeight="12336" xr2:uid="{00000000-000D-0000-FFFF-FFFF00000000}"/>
  </bookViews>
  <sheets>
    <sheet name="Volatilidad Implicita PUT" sheetId="8" r:id="rId1"/>
  </sheets>
  <functionGroups builtInGroupCount="19"/>
  <definedNames>
    <definedName name="CURVAEUR">#REF!</definedName>
    <definedName name="CURVAMXN">#REF!</definedName>
    <definedName name="CURVAMXP">#REF!</definedName>
    <definedName name="curvaprueba">#REF!</definedName>
    <definedName name="CURVAUSD">#REF!</definedName>
    <definedName name="VOL_EURUSD">#REF!</definedName>
    <definedName name="VOL_MXNUSD">#REF!</definedName>
    <definedName name="VOL_PLAT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8" i="8" l="1"/>
  <c r="E8" i="8"/>
  <c r="D9" i="8"/>
  <c r="E9" i="8"/>
  <c r="D10" i="8"/>
  <c r="E10" i="8"/>
  <c r="D11" i="8"/>
  <c r="E11" i="8"/>
  <c r="D12" i="8"/>
  <c r="E12" i="8"/>
  <c r="D13" i="8"/>
  <c r="E13" i="8"/>
  <c r="D14" i="8"/>
  <c r="E14" i="8"/>
  <c r="D15" i="8"/>
  <c r="E15" i="8"/>
  <c r="D16" i="8"/>
  <c r="E16" i="8"/>
  <c r="D17" i="8"/>
  <c r="E17" i="8"/>
  <c r="D18" i="8"/>
  <c r="E18" i="8"/>
  <c r="D19" i="8"/>
  <c r="E19" i="8"/>
  <c r="D20" i="8"/>
  <c r="E20" i="8"/>
  <c r="E7" i="8"/>
  <c r="D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7" i="8"/>
  <c r="A8" i="8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F13" i="8" a="1"/>
  <c r="F17" i="8" a="1"/>
  <c r="F10" i="8" a="1"/>
  <c r="F14" i="8" a="1"/>
  <c r="F18" i="8" a="1"/>
  <c r="F16" i="8" a="1"/>
  <c r="F9" i="8" a="1"/>
  <c r="F8" i="8" a="1"/>
  <c r="F11" i="8" a="1"/>
  <c r="F15" i="8" a="1"/>
  <c r="F19" i="8" a="1"/>
  <c r="F12" i="8" a="1"/>
  <c r="F20" i="8" a="1"/>
  <c r="F7" i="8" a="1"/>
  <c r="K7" i="8" a="1"/>
  <c r="F20" i="8" l="1"/>
  <c r="F12" i="8"/>
  <c r="F19" i="8"/>
  <c r="F15" i="8"/>
  <c r="F11" i="8"/>
  <c r="F8" i="8"/>
  <c r="F9" i="8"/>
  <c r="F16" i="8"/>
  <c r="F18" i="8"/>
  <c r="F14" i="8"/>
  <c r="F10" i="8"/>
  <c r="F17" i="8"/>
  <c r="F13" i="8"/>
  <c r="F7" i="8"/>
  <c r="K7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<sst xmlns="http://schemas.openxmlformats.org/spreadsheetml/2006/main" count="14" uniqueCount="14">
  <si>
    <t>Strike</t>
  </si>
  <si>
    <t>Prima</t>
  </si>
  <si>
    <t>Vencimiento</t>
  </si>
  <si>
    <t>Valuación</t>
  </si>
  <si>
    <t>Días</t>
  </si>
  <si>
    <t>Tasa Local</t>
  </si>
  <si>
    <t>Volatilidad
Implícita</t>
  </si>
  <si>
    <t>Spot Tipo de Cambio</t>
  </si>
  <si>
    <t>Tasa Foránea</t>
  </si>
  <si>
    <t>Tasa R =</t>
  </si>
  <si>
    <t>Tasa r =</t>
  </si>
  <si>
    <t>Prima Put</t>
  </si>
  <si>
    <t>Luego usan la más cercana al precio Spot</t>
  </si>
  <si>
    <t>Se despeja a sigma de d1 y d2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</si>
</sst>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%"/>
    <numFmt numFmtId="165" formatCode="_-* #,##0_-;\-* #,##0_-;_-* &quot;-&quot;??_-;_-@_-"/>
    <numFmt numFmtId="166" formatCode="_-&quot;$&quot;* #,##0.000_-;\-&quot;$&quot;* #,##0.000_-;_-&quot;$&quot;* &quot;-&quot;??_-;_-@_-"/>
    <numFmt numFmtId="167" formatCode="0.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5">
    <xf numFmtId="0" fontId="0" fillId="0" borderId="0" xfId="0"/>
    <xf numFmtId="0" fontId="2" fillId="0" borderId="0" xfId="0" applyFont="1" applyAlignment="1">
      <alignment horizontal="center"/>
    </xf>
    <xf numFmtId="10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0" fontId="0" fillId="2" borderId="0" xfId="0" applyNumberFormat="1" applyFill="1"/>
    <xf numFmtId="166" fontId="0" fillId="0" borderId="0" xfId="3" applyNumberFormat="1" applyFont="1" applyAlignment="1">
      <alignment horizontal="center"/>
    </xf>
    <xf numFmtId="165" fontId="0" fillId="0" borderId="0" xfId="2" applyNumberFormat="1" applyFont="1" applyFill="1" applyAlignment="1">
      <alignment horizontal="center"/>
    </xf>
    <xf numFmtId="164" fontId="0" fillId="0" borderId="0" xfId="1" applyNumberFormat="1" applyFont="1" applyFill="1" applyAlignment="1">
      <alignment horizontal="center"/>
    </xf>
    <xf numFmtId="10" fontId="0" fillId="2" borderId="0" xfId="0" applyNumberFormat="1" applyFill="1" applyAlignment="1">
      <alignment horizontal="center"/>
    </xf>
    <xf numFmtId="10" fontId="0" fillId="0" borderId="0" xfId="0" applyNumberFormat="1" applyAlignment="1">
      <alignment horizontal="center"/>
    </xf>
    <xf numFmtId="167" fontId="0" fillId="3" borderId="0" xfId="0" applyNumberFormat="1" applyFill="1" applyAlignment="1">
      <alignment horizontal="center"/>
    </xf>
    <xf numFmtId="43" fontId="0" fillId="0" borderId="0" xfId="2" applyFont="1"/>
  </cellXfs>
  <cellStyles count="4">
    <cellStyle name="Millares" xfId="2" builtinId="3"/>
    <cellStyle name="Moneda" xfId="3" builtinId="4"/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'Volatilidad Implicita PUT'!$G$6</c:f>
              <c:strCache>
                <c:ptCount val="1"/>
                <c:pt idx="0">
                  <c:v>Volatilidad
Implícita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'Volatilidad Implicita PUT'!$A$7:$A$20</c:f>
              <c:numCache>
                <c:formatCode>General</c:formatCode>
                <c:ptCount val="14"/>
                <c:pt idx="0">
                  <c:v>20</c:v>
                </c:pt>
                <c:pt idx="1">
                  <c:v>20.05</c:v>
                </c:pt>
                <c:pt idx="2">
                  <c:v>20.100000000000001</c:v>
                </c:pt>
                <c:pt idx="3">
                  <c:v>20.150000000000002</c:v>
                </c:pt>
                <c:pt idx="4">
                  <c:v>20.200000000000003</c:v>
                </c:pt>
                <c:pt idx="5">
                  <c:v>20.250000000000004</c:v>
                </c:pt>
                <c:pt idx="6">
                  <c:v>20.300000000000004</c:v>
                </c:pt>
                <c:pt idx="7">
                  <c:v>20.350000000000005</c:v>
                </c:pt>
                <c:pt idx="8">
                  <c:v>20.400000000000006</c:v>
                </c:pt>
                <c:pt idx="9">
                  <c:v>20.450000000000006</c:v>
                </c:pt>
                <c:pt idx="10">
                  <c:v>20.500000000000007</c:v>
                </c:pt>
                <c:pt idx="11">
                  <c:v>20.550000000000008</c:v>
                </c:pt>
                <c:pt idx="12">
                  <c:v>20.600000000000009</c:v>
                </c:pt>
                <c:pt idx="13">
                  <c:v>20.650000000000009</c:v>
                </c:pt>
              </c:numCache>
            </c:numRef>
          </c:cat>
          <c:val>
            <c:numRef>
              <c:f>'Volatilidad Implicita PUT'!$G$7:$G$20</c:f>
              <c:numCache>
                <c:formatCode>0.00%</c:formatCode>
                <c:ptCount val="14"/>
                <c:pt idx="0">
                  <c:v>0.14277151551225267</c:v>
                </c:pt>
                <c:pt idx="1">
                  <c:v>0.14406745315300262</c:v>
                </c:pt>
                <c:pt idx="2">
                  <c:v>0.14570491304789324</c:v>
                </c:pt>
                <c:pt idx="3">
                  <c:v>0.14740288209258307</c:v>
                </c:pt>
                <c:pt idx="4">
                  <c:v>0.14916065094111883</c:v>
                </c:pt>
                <c:pt idx="5">
                  <c:v>0.15072768033446093</c:v>
                </c:pt>
                <c:pt idx="6">
                  <c:v>0.15260987216063315</c:v>
                </c:pt>
                <c:pt idx="7">
                  <c:v>0.15431055601006557</c:v>
                </c:pt>
                <c:pt idx="8">
                  <c:v>0.15608072956635427</c:v>
                </c:pt>
                <c:pt idx="9">
                  <c:v>0.15815771580999274</c:v>
                </c:pt>
                <c:pt idx="10">
                  <c:v>0.16006767812185413</c:v>
                </c:pt>
                <c:pt idx="11">
                  <c:v>0.16205181387014211</c:v>
                </c:pt>
                <c:pt idx="12">
                  <c:v>0.16411240701089488</c:v>
                </c:pt>
                <c:pt idx="13">
                  <c:v>0.16602471633445307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BE-4BCC-B412-95A6606B5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5681104"/>
        <c:axId val="565684944"/>
      </c:lineChart>
      <c:catAx>
        <c:axId val="565681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5684944"/>
        <c:crosses val="autoZero"/>
        <c:auto val="1"/>
        <c:lblAlgn val="ctr"/>
        <c:lblOffset val="100"/>
        <c:noMultiLvlLbl val="0"/>
      </c:catAx>
      <c:valAx>
        <c:axId val="565684944"/>
        <c:scaling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5681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1513</xdr:colOff>
      <xdr:row>6</xdr:row>
      <xdr:rowOff>6296</xdr:rowOff>
    </xdr:from>
    <xdr:to>
      <xdr:col>13</xdr:col>
      <xdr:colOff>649213</xdr:colOff>
      <xdr:row>21</xdr:row>
      <xdr:rowOff>6296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350520</xdr:colOff>
          <xdr:row>1</xdr:row>
          <xdr:rowOff>0</xdr:rowOff>
        </xdr:from>
        <xdr:to>
          <xdr:col>9</xdr:col>
          <xdr:colOff>373380</xdr:colOff>
          <xdr:row>3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"/>
  <dimension ref="A2:K20"/>
  <sheetViews>
    <sheetView tabSelected="1" topLeftCell="B1" zoomScale="110" zoomScaleNormal="110" workbookViewId="0">
      <selection activeCell="H7" sqref="H7"/>
    </sheetView>
  </sheetViews>
  <sheetFormatPr baseColWidth="10" defaultColWidth="11.44140625" defaultRowHeight="14.4" x14ac:dyDescent="0.3"/>
  <cols>
    <col min="1" max="1" width="17.88671875" bestFit="1" customWidth="1"/>
  </cols>
  <sheetData>
    <row r="2" spans="1:11" x14ac:dyDescent="0.3">
      <c r="A2" t="s">
        <v>3</v>
      </c>
      <c r="B2" s="3">
        <v>45712</v>
      </c>
      <c r="D2" t="s">
        <v>9</v>
      </c>
      <c r="E2" s="12">
        <v>9.2299999999999993E-2</v>
      </c>
    </row>
    <row r="3" spans="1:11" x14ac:dyDescent="0.3">
      <c r="A3" t="s">
        <v>2</v>
      </c>
      <c r="B3" s="3">
        <v>45824</v>
      </c>
      <c r="C3" s="14"/>
      <c r="D3" t="s">
        <v>10</v>
      </c>
      <c r="E3" s="12">
        <v>4.2999999999999997E-2</v>
      </c>
    </row>
    <row r="4" spans="1:11" x14ac:dyDescent="0.3">
      <c r="A4" t="s">
        <v>7</v>
      </c>
      <c r="B4">
        <v>20.4815</v>
      </c>
    </row>
    <row r="6" spans="1:11" ht="28.8" x14ac:dyDescent="0.3">
      <c r="A6" s="5" t="s">
        <v>0</v>
      </c>
      <c r="B6" s="5" t="s">
        <v>1</v>
      </c>
      <c r="C6" s="5" t="s">
        <v>4</v>
      </c>
      <c r="D6" s="5" t="s">
        <v>5</v>
      </c>
      <c r="E6" s="6" t="s">
        <v>8</v>
      </c>
      <c r="F6" s="5" t="s">
        <v>11</v>
      </c>
      <c r="G6" s="6" t="s">
        <v>6</v>
      </c>
      <c r="H6" s="5" t="s">
        <v>13</v>
      </c>
      <c r="J6" s="5"/>
      <c r="K6" s="1"/>
    </row>
    <row r="7" spans="1:11" x14ac:dyDescent="0.3">
      <c r="A7" s="4">
        <v>20</v>
      </c>
      <c r="B7" s="4">
        <v>0.24299999999999999</v>
      </c>
      <c r="C7" s="9">
        <f>$B$3-$B$2</f>
        <v>112</v>
      </c>
      <c r="D7" s="10">
        <f>$E$2</f>
        <v>9.2299999999999993E-2</v>
      </c>
      <c r="E7" s="10">
        <f>$E$3</f>
        <v>4.2999999999999997E-2</v>
      </c>
      <c r="F7" s="13" cm="1">
        <f t="array" ref="F7">PrimaPut($B$4,A7,G7,C7,D7,E7)</f>
        <v>0.24294290054565781</v>
      </c>
      <c r="G7" s="11">
        <v>0.14277151551225267</v>
      </c>
      <c r="J7" s="7">
        <v>9.0999999999999998E-2</v>
      </c>
      <c r="K7" s="8" cm="1">
        <f t="array" ref="K7">+PrimaCall(B4,20.7,90/360,J7,D7,E7)</f>
        <v>9.6712045860689044E-5</v>
      </c>
    </row>
    <row r="8" spans="1:11" x14ac:dyDescent="0.3">
      <c r="A8" s="4">
        <f>+A7+0.05</f>
        <v>20.05</v>
      </c>
      <c r="B8" s="4">
        <v>0.26100000000000001</v>
      </c>
      <c r="C8" s="9">
        <f t="shared" ref="C8:C20" si="0">$B$3-$B$2</f>
        <v>112</v>
      </c>
      <c r="D8" s="10">
        <f t="shared" ref="D8:D20" si="1">$E$2</f>
        <v>9.2299999999999993E-2</v>
      </c>
      <c r="E8" s="10">
        <f t="shared" ref="E8:E20" si="2">$E$3</f>
        <v>4.2999999999999997E-2</v>
      </c>
      <c r="F8" s="13" cm="1">
        <f t="array" ref="F8">PrimaPut($B$4,A8,G8,C8,D8,E8)</f>
        <v>0.26094001490725738</v>
      </c>
      <c r="G8" s="11">
        <v>0.14406745315300262</v>
      </c>
      <c r="I8" s="4"/>
      <c r="J8" s="2"/>
    </row>
    <row r="9" spans="1:11" x14ac:dyDescent="0.3">
      <c r="A9" s="4">
        <f>+A8+0.05</f>
        <v>20.100000000000001</v>
      </c>
      <c r="B9" s="4">
        <v>0.28100000000000003</v>
      </c>
      <c r="C9" s="9">
        <f t="shared" si="0"/>
        <v>112</v>
      </c>
      <c r="D9" s="10">
        <f t="shared" si="1"/>
        <v>9.2299999999999993E-2</v>
      </c>
      <c r="E9" s="10">
        <f t="shared" si="2"/>
        <v>4.2999999999999997E-2</v>
      </c>
      <c r="F9" s="13" cm="1">
        <f t="array" ref="F9">PrimaPut($B$4,A9,G9,C9,D9,E9)</f>
        <v>0.28093582112832216</v>
      </c>
      <c r="G9" s="11">
        <v>0.14570491304789324</v>
      </c>
      <c r="I9" s="4"/>
      <c r="J9" s="2"/>
    </row>
    <row r="10" spans="1:11" x14ac:dyDescent="0.3">
      <c r="A10" s="4">
        <f t="shared" ref="A10:A17" si="3">+A9+0.05</f>
        <v>20.150000000000002</v>
      </c>
      <c r="B10" s="4">
        <v>0.30199999999999999</v>
      </c>
      <c r="C10" s="9">
        <f t="shared" si="0"/>
        <v>112</v>
      </c>
      <c r="D10" s="10">
        <f t="shared" si="1"/>
        <v>9.2299999999999993E-2</v>
      </c>
      <c r="E10" s="10">
        <f t="shared" si="2"/>
        <v>4.2999999999999997E-2</v>
      </c>
      <c r="F10" s="13" cm="1">
        <f t="array" ref="F10">PrimaPut($B$4,A10,G10,C10,D10,E10)</f>
        <v>0.30193346817004674</v>
      </c>
      <c r="G10" s="11">
        <v>0.14740288209258307</v>
      </c>
      <c r="I10" s="4"/>
      <c r="J10" s="2"/>
    </row>
    <row r="11" spans="1:11" x14ac:dyDescent="0.3">
      <c r="A11" s="4">
        <f t="shared" si="3"/>
        <v>20.200000000000003</v>
      </c>
      <c r="B11" s="4">
        <v>0.32400000000000001</v>
      </c>
      <c r="C11" s="9">
        <f t="shared" si="0"/>
        <v>112</v>
      </c>
      <c r="D11" s="10">
        <f t="shared" si="1"/>
        <v>9.2299999999999993E-2</v>
      </c>
      <c r="E11" s="10">
        <f t="shared" si="2"/>
        <v>4.2999999999999997E-2</v>
      </c>
      <c r="F11" s="13" cm="1">
        <f t="array" ref="F11">PrimaPut($B$4,A11,G11,C11,D11,E11)</f>
        <v>0.32393307060348953</v>
      </c>
      <c r="G11" s="11">
        <v>0.14916065094111883</v>
      </c>
      <c r="I11" s="4"/>
      <c r="J11" s="2"/>
    </row>
    <row r="12" spans="1:11" x14ac:dyDescent="0.3">
      <c r="A12" s="4">
        <f t="shared" si="3"/>
        <v>20.250000000000004</v>
      </c>
      <c r="B12" s="4">
        <v>0.34599999999999997</v>
      </c>
      <c r="C12" s="9">
        <f t="shared" si="0"/>
        <v>112</v>
      </c>
      <c r="D12" s="10">
        <f t="shared" si="1"/>
        <v>9.2299999999999993E-2</v>
      </c>
      <c r="E12" s="10">
        <f t="shared" si="2"/>
        <v>4.2999999999999997E-2</v>
      </c>
      <c r="F12" s="13" cm="1">
        <f t="array" ref="F12">PrimaPut($B$4,A12,G12,C12,D12,E12)</f>
        <v>0.34593635030179737</v>
      </c>
      <c r="G12" s="11">
        <v>0.15072768033446093</v>
      </c>
      <c r="I12" s="4"/>
      <c r="J12" s="2"/>
    </row>
    <row r="13" spans="1:11" x14ac:dyDescent="0.3">
      <c r="A13" s="4">
        <f t="shared" si="3"/>
        <v>20.300000000000004</v>
      </c>
      <c r="B13" s="4">
        <v>0.37</v>
      </c>
      <c r="C13" s="9">
        <f t="shared" si="0"/>
        <v>112</v>
      </c>
      <c r="D13" s="10">
        <f t="shared" si="1"/>
        <v>9.2299999999999993E-2</v>
      </c>
      <c r="E13" s="10">
        <f t="shared" si="2"/>
        <v>4.2999999999999997E-2</v>
      </c>
      <c r="F13" s="13" cm="1">
        <f t="array" ref="F13">PrimaPut($B$4,A13,G13,C13,D13,E13)</f>
        <v>0.36993941764710936</v>
      </c>
      <c r="G13" s="11">
        <v>0.15260987216063315</v>
      </c>
      <c r="I13" s="4"/>
      <c r="J13" s="2"/>
    </row>
    <row r="14" spans="1:11" x14ac:dyDescent="0.3">
      <c r="A14" s="4">
        <f t="shared" si="3"/>
        <v>20.350000000000005</v>
      </c>
      <c r="B14" s="4">
        <v>0.39400000000000002</v>
      </c>
      <c r="C14" s="9">
        <f t="shared" si="0"/>
        <v>112</v>
      </c>
      <c r="D14" s="10">
        <f t="shared" si="1"/>
        <v>9.2299999999999993E-2</v>
      </c>
      <c r="E14" s="10">
        <f t="shared" si="2"/>
        <v>4.2999999999999997E-2</v>
      </c>
      <c r="F14" s="13" cm="1">
        <f t="array" ref="F14">PrimaPut($B$4,A14,G14,C14,D14,E14)</f>
        <v>0.39394524657391994</v>
      </c>
      <c r="G14" s="11">
        <v>0.15431055601006557</v>
      </c>
      <c r="I14" s="4"/>
      <c r="J14" s="2"/>
    </row>
    <row r="15" spans="1:11" x14ac:dyDescent="0.3">
      <c r="A15" s="4">
        <f t="shared" si="3"/>
        <v>20.400000000000006</v>
      </c>
      <c r="B15" s="4">
        <v>0.41899999999999998</v>
      </c>
      <c r="C15" s="9">
        <f t="shared" si="0"/>
        <v>112</v>
      </c>
      <c r="D15" s="10">
        <f t="shared" si="1"/>
        <v>9.2299999999999993E-2</v>
      </c>
      <c r="E15" s="10">
        <f t="shared" si="2"/>
        <v>4.2999999999999997E-2</v>
      </c>
      <c r="F15" s="13" cm="1">
        <f t="array" ref="F15">PrimaPut($B$4,A15,G15,C15,D15,E15)</f>
        <v>0.41895182616523208</v>
      </c>
      <c r="G15" s="11">
        <v>0.15608072956635427</v>
      </c>
      <c r="I15" s="4"/>
      <c r="J15" s="2"/>
    </row>
    <row r="16" spans="1:11" x14ac:dyDescent="0.3">
      <c r="A16" s="4">
        <f t="shared" si="3"/>
        <v>20.450000000000006</v>
      </c>
      <c r="B16" s="4">
        <v>0.44600000000000001</v>
      </c>
      <c r="C16" s="9">
        <f t="shared" si="0"/>
        <v>112</v>
      </c>
      <c r="D16" s="10">
        <f t="shared" si="1"/>
        <v>9.2299999999999993E-2</v>
      </c>
      <c r="E16" s="10">
        <f t="shared" si="2"/>
        <v>4.2999999999999997E-2</v>
      </c>
      <c r="F16" s="13" cm="1">
        <f t="array" ref="F16">PrimaPut($B$4,A16,G16,C16,D16,E16)</f>
        <v>0.44595809417886656</v>
      </c>
      <c r="G16" s="11">
        <v>0.15815771580999274</v>
      </c>
      <c r="I16" s="4"/>
      <c r="J16" s="2"/>
    </row>
    <row r="17" spans="1:10" x14ac:dyDescent="0.3">
      <c r="A17" s="4">
        <f t="shared" si="3"/>
        <v>20.500000000000007</v>
      </c>
      <c r="B17" s="4">
        <v>0.47299999999999998</v>
      </c>
      <c r="C17" s="9">
        <f t="shared" si="0"/>
        <v>112</v>
      </c>
      <c r="D17" s="10">
        <f t="shared" si="1"/>
        <v>9.2299999999999993E-2</v>
      </c>
      <c r="E17" s="10">
        <f t="shared" si="2"/>
        <v>4.2999999999999997E-2</v>
      </c>
      <c r="F17" s="13" cm="1">
        <f t="array" ref="F17">PrimaPut($B$4,A17,G17,C17,D17,E17)</f>
        <v>0.4729654178615359</v>
      </c>
      <c r="G17" s="11">
        <v>0.16006767812185413</v>
      </c>
      <c r="H17" t="s">
        <v>12</v>
      </c>
      <c r="I17" s="4"/>
      <c r="J17" s="2"/>
    </row>
    <row r="18" spans="1:10" x14ac:dyDescent="0.3">
      <c r="A18" s="4">
        <f>+A17+0.05</f>
        <v>20.550000000000008</v>
      </c>
      <c r="B18" s="4">
        <v>0.501</v>
      </c>
      <c r="C18" s="9">
        <f t="shared" si="0"/>
        <v>112</v>
      </c>
      <c r="D18" s="10">
        <f t="shared" si="1"/>
        <v>9.2299999999999993E-2</v>
      </c>
      <c r="E18" s="10">
        <f t="shared" si="2"/>
        <v>4.2999999999999997E-2</v>
      </c>
      <c r="F18" s="13" cm="1">
        <f t="array" ref="F18">PrimaPut($B$4,A18,G18,C18,D18,E18)</f>
        <v>0.50097251110699492</v>
      </c>
      <c r="G18" s="11">
        <v>0.16205181387014211</v>
      </c>
      <c r="I18" s="4"/>
      <c r="J18" s="2"/>
    </row>
    <row r="19" spans="1:10" x14ac:dyDescent="0.3">
      <c r="A19" s="4">
        <f>+A18+0.05</f>
        <v>20.600000000000009</v>
      </c>
      <c r="B19" s="4">
        <v>0.53</v>
      </c>
      <c r="C19" s="9">
        <f t="shared" si="0"/>
        <v>112</v>
      </c>
      <c r="D19" s="10">
        <f t="shared" si="1"/>
        <v>9.2299999999999993E-2</v>
      </c>
      <c r="E19" s="10">
        <f t="shared" si="2"/>
        <v>4.2999999999999997E-2</v>
      </c>
      <c r="F19" s="13" cm="1">
        <f t="array" ref="F19">PrimaPut($B$4,A19,G19,C19,D19,E19)</f>
        <v>0.52997908539270888</v>
      </c>
      <c r="G19" s="11">
        <v>0.16411240701089488</v>
      </c>
      <c r="I19" s="4"/>
      <c r="J19" s="2"/>
    </row>
    <row r="20" spans="1:10" x14ac:dyDescent="0.3">
      <c r="A20" s="4">
        <f>+A19+0.05</f>
        <v>20.650000000000009</v>
      </c>
      <c r="B20" s="4">
        <v>0.55900000000000005</v>
      </c>
      <c r="C20" s="9">
        <f t="shared" si="0"/>
        <v>112</v>
      </c>
      <c r="D20" s="10">
        <f t="shared" si="1"/>
        <v>9.2299999999999993E-2</v>
      </c>
      <c r="E20" s="10">
        <f t="shared" si="2"/>
        <v>4.2999999999999997E-2</v>
      </c>
      <c r="F20" s="13" cm="1">
        <f t="array" ref="F20">PrimaPut($B$4,A20,G20,C20,D20,E20)</f>
        <v>0.55898509512127426</v>
      </c>
      <c r="G20" s="11">
        <v>0.16602471633445307</v>
      </c>
      <c r="I20" s="4"/>
      <c r="J20" s="2"/>
    </row>
  </sheetData>
  <dataConsolidate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Goal_Seek">
                <anchor moveWithCells="1" sizeWithCells="1">
                  <from>
                    <xdr:col>7</xdr:col>
                    <xdr:colOff>350520</xdr:colOff>
                    <xdr:row>1</xdr:row>
                    <xdr:rowOff>0</xdr:rowOff>
                  </from>
                  <to>
                    <xdr:col>9</xdr:col>
                    <xdr:colOff>373380</xdr:colOff>
                    <xdr:row>3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Volatilidad Implicita 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 Venegas del Angel</dc:creator>
  <cp:lastModifiedBy>DENILSON SOTO LUNA</cp:lastModifiedBy>
  <dcterms:created xsi:type="dcterms:W3CDTF">2019-04-23T01:31:49Z</dcterms:created>
  <dcterms:modified xsi:type="dcterms:W3CDTF">2025-02-26T01:39:04Z</dcterms:modified>
</cp:coreProperties>
</file>