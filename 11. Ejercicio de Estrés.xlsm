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l\Desktop\Admin. Riesgos\"/>
    </mc:Choice>
  </mc:AlternateContent>
  <xr:revisionPtr revIDLastSave="0" documentId="13_ncr:1_{8F58CC36-0B86-49AE-A901-59EC0D8967E2}" xr6:coauthVersionLast="47" xr6:coauthVersionMax="47" xr10:uidLastSave="{00000000-0000-0000-0000-000000000000}"/>
  <bookViews>
    <workbookView xWindow="-108" yWindow="-108" windowWidth="23256" windowHeight="12456" activeTab="3" xr2:uid="{D8FC3E20-C60A-4A4A-897C-52143311204D}"/>
  </bookViews>
  <sheets>
    <sheet name="Factores" sheetId="3" r:id="rId1"/>
    <sheet name="Mercado Accionario y TC" sheetId="10" r:id="rId2"/>
    <sheet name="Portafolio Base" sheetId="9" r:id="rId3"/>
    <sheet name="Portafolio Impactos" sheetId="11" r:id="rId4"/>
  </sheets>
  <functionGroups builtInGroupCount="19"/>
  <definedNames>
    <definedName name="CURVA">Factores!$C$15:$F$36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11" l="1"/>
  <c r="O5" i="11" l="1"/>
  <c r="O4" i="11"/>
  <c r="O3" i="11"/>
  <c r="L10" i="11"/>
  <c r="L11" i="11"/>
  <c r="L12" i="11"/>
  <c r="L13" i="11"/>
  <c r="L14" i="11"/>
  <c r="L15" i="11"/>
  <c r="L16" i="11"/>
  <c r="L17" i="11"/>
  <c r="K17" i="11"/>
  <c r="K16" i="11"/>
  <c r="J17" i="11"/>
  <c r="J16" i="11"/>
  <c r="J11" i="11"/>
  <c r="J12" i="11"/>
  <c r="J13" i="11"/>
  <c r="J14" i="11"/>
  <c r="J15" i="11"/>
  <c r="J10" i="11"/>
  <c r="I17" i="11"/>
  <c r="I16" i="11"/>
  <c r="I15" i="11"/>
  <c r="I14" i="11"/>
  <c r="I13" i="11"/>
  <c r="I12" i="11"/>
  <c r="I11" i="11"/>
  <c r="I10" i="11"/>
  <c r="O11" i="3" a="1"/>
  <c r="O11" i="3" s="1"/>
  <c r="O10" i="3" a="1"/>
  <c r="O10" i="3" s="1"/>
  <c r="O9" i="3" a="1"/>
  <c r="O9" i="3" s="1"/>
  <c r="O8" i="3" a="1"/>
  <c r="O8" i="3" s="1"/>
  <c r="O7" i="3" a="1"/>
  <c r="O7" i="3" s="1"/>
  <c r="O6" i="3" a="1"/>
  <c r="O6" i="3" s="1"/>
  <c r="O5" i="3" a="1"/>
  <c r="O5" i="3" s="1"/>
  <c r="O4" i="3" a="1"/>
  <c r="O4" i="3" s="1"/>
  <c r="H10" i="11"/>
  <c r="H11" i="11"/>
  <c r="H12" i="11"/>
  <c r="H13" i="11"/>
  <c r="H14" i="11"/>
  <c r="H15" i="11"/>
  <c r="H16" i="11"/>
  <c r="H17" i="11"/>
  <c r="J10" i="9"/>
  <c r="J11" i="9"/>
  <c r="J12" i="9"/>
  <c r="J13" i="9"/>
  <c r="J14" i="9"/>
  <c r="J15" i="9"/>
  <c r="J16" i="9"/>
  <c r="J17" i="9"/>
  <c r="I17" i="9"/>
  <c r="I16" i="9"/>
  <c r="H17" i="9"/>
  <c r="H16" i="9"/>
  <c r="H15" i="9"/>
  <c r="H14" i="9"/>
  <c r="H13" i="9"/>
  <c r="H12" i="9"/>
  <c r="H11" i="9"/>
  <c r="H10" i="9"/>
  <c r="P5" i="10"/>
  <c r="Q5" i="10"/>
  <c r="R5" i="10"/>
  <c r="S5" i="10"/>
  <c r="T5" i="10"/>
  <c r="U5" i="10"/>
  <c r="V5" i="10"/>
  <c r="W5" i="10"/>
  <c r="X5" i="10"/>
  <c r="Y5" i="10"/>
  <c r="P6" i="10"/>
  <c r="Q6" i="10"/>
  <c r="R6" i="10"/>
  <c r="S6" i="10"/>
  <c r="T6" i="10"/>
  <c r="U6" i="10"/>
  <c r="V6" i="10"/>
  <c r="W6" i="10"/>
  <c r="X6" i="10"/>
  <c r="Y6" i="10"/>
  <c r="P7" i="10"/>
  <c r="Q7" i="10"/>
  <c r="R7" i="10"/>
  <c r="S7" i="10"/>
  <c r="T7" i="10"/>
  <c r="U7" i="10"/>
  <c r="V7" i="10"/>
  <c r="W7" i="10"/>
  <c r="X7" i="10"/>
  <c r="Y7" i="10"/>
  <c r="P8" i="10"/>
  <c r="Q8" i="10"/>
  <c r="R8" i="10"/>
  <c r="S8" i="10"/>
  <c r="T8" i="10"/>
  <c r="U8" i="10"/>
  <c r="V8" i="10"/>
  <c r="W8" i="10"/>
  <c r="X8" i="10"/>
  <c r="Y8" i="10"/>
  <c r="P9" i="10"/>
  <c r="Q9" i="10"/>
  <c r="R9" i="10"/>
  <c r="S9" i="10"/>
  <c r="T9" i="10"/>
  <c r="U9" i="10"/>
  <c r="V9" i="10"/>
  <c r="W9" i="10"/>
  <c r="X9" i="10"/>
  <c r="Y9" i="10"/>
  <c r="P10" i="10"/>
  <c r="Q10" i="10"/>
  <c r="R10" i="10"/>
  <c r="S10" i="10"/>
  <c r="T10" i="10"/>
  <c r="U10" i="10"/>
  <c r="V10" i="10"/>
  <c r="W10" i="10"/>
  <c r="X10" i="10"/>
  <c r="Y10" i="10"/>
  <c r="P11" i="10"/>
  <c r="Q11" i="10"/>
  <c r="R11" i="10"/>
  <c r="S11" i="10"/>
  <c r="T11" i="10"/>
  <c r="U11" i="10"/>
  <c r="V11" i="10"/>
  <c r="W11" i="10"/>
  <c r="X11" i="10"/>
  <c r="Y11" i="10"/>
  <c r="P12" i="10"/>
  <c r="Q12" i="10"/>
  <c r="R12" i="10"/>
  <c r="S12" i="10"/>
  <c r="T12" i="10"/>
  <c r="U12" i="10"/>
  <c r="V12" i="10"/>
  <c r="W12" i="10"/>
  <c r="X12" i="10"/>
  <c r="Y12" i="10"/>
  <c r="P13" i="10"/>
  <c r="Q13" i="10"/>
  <c r="R13" i="10"/>
  <c r="S13" i="10"/>
  <c r="T13" i="10"/>
  <c r="U13" i="10"/>
  <c r="V13" i="10"/>
  <c r="W13" i="10"/>
  <c r="X13" i="10"/>
  <c r="Y13" i="10"/>
  <c r="P14" i="10"/>
  <c r="Q14" i="10"/>
  <c r="R14" i="10"/>
  <c r="S14" i="10"/>
  <c r="T14" i="10"/>
  <c r="U14" i="10"/>
  <c r="V14" i="10"/>
  <c r="W14" i="10"/>
  <c r="X14" i="10"/>
  <c r="Y14" i="10"/>
  <c r="P15" i="10"/>
  <c r="Q15" i="10"/>
  <c r="R15" i="10"/>
  <c r="S15" i="10"/>
  <c r="T15" i="10"/>
  <c r="U15" i="10"/>
  <c r="V15" i="10"/>
  <c r="W15" i="10"/>
  <c r="X15" i="10"/>
  <c r="Y15" i="10"/>
  <c r="P16" i="10"/>
  <c r="Q16" i="10"/>
  <c r="R16" i="10"/>
  <c r="S16" i="10"/>
  <c r="T16" i="10"/>
  <c r="U16" i="10"/>
  <c r="V16" i="10"/>
  <c r="W16" i="10"/>
  <c r="X16" i="10"/>
  <c r="Y16" i="10"/>
  <c r="P17" i="10"/>
  <c r="Q17" i="10"/>
  <c r="R17" i="10"/>
  <c r="S17" i="10"/>
  <c r="T17" i="10"/>
  <c r="U17" i="10"/>
  <c r="V17" i="10"/>
  <c r="W17" i="10"/>
  <c r="X17" i="10"/>
  <c r="Y17" i="10"/>
  <c r="P18" i="10"/>
  <c r="Q18" i="10"/>
  <c r="R18" i="10"/>
  <c r="S18" i="10"/>
  <c r="T18" i="10"/>
  <c r="U18" i="10"/>
  <c r="V18" i="10"/>
  <c r="W18" i="10"/>
  <c r="X18" i="10"/>
  <c r="Y18" i="10"/>
  <c r="P19" i="10"/>
  <c r="Q19" i="10"/>
  <c r="R19" i="10"/>
  <c r="S19" i="10"/>
  <c r="T19" i="10"/>
  <c r="U19" i="10"/>
  <c r="V19" i="10"/>
  <c r="W19" i="10"/>
  <c r="X19" i="10"/>
  <c r="Y19" i="10"/>
  <c r="P20" i="10"/>
  <c r="Q20" i="10"/>
  <c r="R20" i="10"/>
  <c r="S20" i="10"/>
  <c r="T20" i="10"/>
  <c r="U20" i="10"/>
  <c r="V20" i="10"/>
  <c r="W20" i="10"/>
  <c r="X20" i="10"/>
  <c r="Y20" i="10"/>
  <c r="P21" i="10"/>
  <c r="Q21" i="10"/>
  <c r="R21" i="10"/>
  <c r="S21" i="10"/>
  <c r="T21" i="10"/>
  <c r="U21" i="10"/>
  <c r="V21" i="10"/>
  <c r="W21" i="10"/>
  <c r="X21" i="10"/>
  <c r="Y21" i="10"/>
  <c r="P22" i="10"/>
  <c r="Q22" i="10"/>
  <c r="R22" i="10"/>
  <c r="S22" i="10"/>
  <c r="T22" i="10"/>
  <c r="U22" i="10"/>
  <c r="V22" i="10"/>
  <c r="W22" i="10"/>
  <c r="X22" i="10"/>
  <c r="Y22" i="10"/>
  <c r="P23" i="10"/>
  <c r="Q23" i="10"/>
  <c r="R23" i="10"/>
  <c r="S23" i="10"/>
  <c r="T23" i="10"/>
  <c r="U23" i="10"/>
  <c r="V23" i="10"/>
  <c r="W23" i="10"/>
  <c r="X23" i="10"/>
  <c r="Y23" i="10"/>
  <c r="P24" i="10"/>
  <c r="Q24" i="10"/>
  <c r="R24" i="10"/>
  <c r="S24" i="10"/>
  <c r="T24" i="10"/>
  <c r="U24" i="10"/>
  <c r="V24" i="10"/>
  <c r="W24" i="10"/>
  <c r="X24" i="10"/>
  <c r="Y24" i="10"/>
  <c r="P25" i="10"/>
  <c r="Q25" i="10"/>
  <c r="R25" i="10"/>
  <c r="S25" i="10"/>
  <c r="T25" i="10"/>
  <c r="U25" i="10"/>
  <c r="V25" i="10"/>
  <c r="W25" i="10"/>
  <c r="X25" i="10"/>
  <c r="Y25" i="10"/>
  <c r="P26" i="10"/>
  <c r="Q26" i="10"/>
  <c r="R26" i="10"/>
  <c r="S26" i="10"/>
  <c r="T26" i="10"/>
  <c r="U26" i="10"/>
  <c r="V26" i="10"/>
  <c r="W26" i="10"/>
  <c r="X26" i="10"/>
  <c r="Y26" i="10"/>
  <c r="P27" i="10"/>
  <c r="Q27" i="10"/>
  <c r="R27" i="10"/>
  <c r="S27" i="10"/>
  <c r="T27" i="10"/>
  <c r="U27" i="10"/>
  <c r="V27" i="10"/>
  <c r="W27" i="10"/>
  <c r="X27" i="10"/>
  <c r="Y27" i="10"/>
  <c r="P28" i="10"/>
  <c r="Q28" i="10"/>
  <c r="R28" i="10"/>
  <c r="S28" i="10"/>
  <c r="T28" i="10"/>
  <c r="U28" i="10"/>
  <c r="V28" i="10"/>
  <c r="W28" i="10"/>
  <c r="X28" i="10"/>
  <c r="Y28" i="10"/>
  <c r="P29" i="10"/>
  <c r="Q29" i="10"/>
  <c r="R29" i="10"/>
  <c r="S29" i="10"/>
  <c r="T29" i="10"/>
  <c r="U29" i="10"/>
  <c r="V29" i="10"/>
  <c r="W29" i="10"/>
  <c r="X29" i="10"/>
  <c r="Y29" i="10"/>
  <c r="P30" i="10"/>
  <c r="Q30" i="10"/>
  <c r="R30" i="10"/>
  <c r="S30" i="10"/>
  <c r="T30" i="10"/>
  <c r="U30" i="10"/>
  <c r="V30" i="10"/>
  <c r="W30" i="10"/>
  <c r="X30" i="10"/>
  <c r="Y30" i="10"/>
  <c r="P31" i="10"/>
  <c r="Q31" i="10"/>
  <c r="R31" i="10"/>
  <c r="S31" i="10"/>
  <c r="T31" i="10"/>
  <c r="U31" i="10"/>
  <c r="V31" i="10"/>
  <c r="W31" i="10"/>
  <c r="X31" i="10"/>
  <c r="Y31" i="10"/>
  <c r="P32" i="10"/>
  <c r="Q32" i="10"/>
  <c r="R32" i="10"/>
  <c r="S32" i="10"/>
  <c r="T32" i="10"/>
  <c r="U32" i="10"/>
  <c r="V32" i="10"/>
  <c r="W32" i="10"/>
  <c r="X32" i="10"/>
  <c r="Y32" i="10"/>
  <c r="P33" i="10"/>
  <c r="Q33" i="10"/>
  <c r="R33" i="10"/>
  <c r="S33" i="10"/>
  <c r="T33" i="10"/>
  <c r="U33" i="10"/>
  <c r="V33" i="10"/>
  <c r="W33" i="10"/>
  <c r="X33" i="10"/>
  <c r="Y33" i="10"/>
  <c r="P34" i="10"/>
  <c r="Q34" i="10"/>
  <c r="R34" i="10"/>
  <c r="S34" i="10"/>
  <c r="T34" i="10"/>
  <c r="U34" i="10"/>
  <c r="V34" i="10"/>
  <c r="W34" i="10"/>
  <c r="X34" i="10"/>
  <c r="Y34" i="10"/>
  <c r="P35" i="10"/>
  <c r="Q35" i="10"/>
  <c r="R35" i="10"/>
  <c r="S35" i="10"/>
  <c r="T35" i="10"/>
  <c r="U35" i="10"/>
  <c r="V35" i="10"/>
  <c r="W35" i="10"/>
  <c r="X35" i="10"/>
  <c r="Y35" i="10"/>
  <c r="P36" i="10"/>
  <c r="Q36" i="10"/>
  <c r="R36" i="10"/>
  <c r="S36" i="10"/>
  <c r="T36" i="10"/>
  <c r="U36" i="10"/>
  <c r="V36" i="10"/>
  <c r="W36" i="10"/>
  <c r="X36" i="10"/>
  <c r="Y36" i="10"/>
  <c r="P37" i="10"/>
  <c r="Q37" i="10"/>
  <c r="R37" i="10"/>
  <c r="S37" i="10"/>
  <c r="T37" i="10"/>
  <c r="U37" i="10"/>
  <c r="V37" i="10"/>
  <c r="W37" i="10"/>
  <c r="X37" i="10"/>
  <c r="Y37" i="10"/>
  <c r="P38" i="10"/>
  <c r="Q38" i="10"/>
  <c r="R38" i="10"/>
  <c r="S38" i="10"/>
  <c r="T38" i="10"/>
  <c r="U38" i="10"/>
  <c r="V38" i="10"/>
  <c r="W38" i="10"/>
  <c r="X38" i="10"/>
  <c r="Y38" i="10"/>
  <c r="P39" i="10"/>
  <c r="Q39" i="10"/>
  <c r="R39" i="10"/>
  <c r="S39" i="10"/>
  <c r="T39" i="10"/>
  <c r="U39" i="10"/>
  <c r="V39" i="10"/>
  <c r="W39" i="10"/>
  <c r="X39" i="10"/>
  <c r="Y39" i="10"/>
  <c r="P40" i="10"/>
  <c r="Q40" i="10"/>
  <c r="R40" i="10"/>
  <c r="S40" i="10"/>
  <c r="T40" i="10"/>
  <c r="U40" i="10"/>
  <c r="V40" i="10"/>
  <c r="W40" i="10"/>
  <c r="X40" i="10"/>
  <c r="Y40" i="10"/>
  <c r="P41" i="10"/>
  <c r="Q41" i="10"/>
  <c r="R41" i="10"/>
  <c r="S41" i="10"/>
  <c r="T41" i="10"/>
  <c r="U41" i="10"/>
  <c r="V41" i="10"/>
  <c r="W41" i="10"/>
  <c r="X41" i="10"/>
  <c r="Y41" i="10"/>
  <c r="P42" i="10"/>
  <c r="Q42" i="10"/>
  <c r="R42" i="10"/>
  <c r="S42" i="10"/>
  <c r="T42" i="10"/>
  <c r="U42" i="10"/>
  <c r="V42" i="10"/>
  <c r="W42" i="10"/>
  <c r="X42" i="10"/>
  <c r="Y42" i="10"/>
  <c r="P43" i="10"/>
  <c r="Q43" i="10"/>
  <c r="R43" i="10"/>
  <c r="S43" i="10"/>
  <c r="T43" i="10"/>
  <c r="U43" i="10"/>
  <c r="V43" i="10"/>
  <c r="W43" i="10"/>
  <c r="X43" i="10"/>
  <c r="Y43" i="10"/>
  <c r="P44" i="10"/>
  <c r="Q44" i="10"/>
  <c r="R44" i="10"/>
  <c r="S44" i="10"/>
  <c r="T44" i="10"/>
  <c r="U44" i="10"/>
  <c r="V44" i="10"/>
  <c r="W44" i="10"/>
  <c r="X44" i="10"/>
  <c r="Y44" i="10"/>
  <c r="P45" i="10"/>
  <c r="Q45" i="10"/>
  <c r="R45" i="10"/>
  <c r="S45" i="10"/>
  <c r="T45" i="10"/>
  <c r="U45" i="10"/>
  <c r="V45" i="10"/>
  <c r="W45" i="10"/>
  <c r="X45" i="10"/>
  <c r="Y45" i="10"/>
  <c r="P46" i="10"/>
  <c r="Q46" i="10"/>
  <c r="R46" i="10"/>
  <c r="S46" i="10"/>
  <c r="T46" i="10"/>
  <c r="U46" i="10"/>
  <c r="V46" i="10"/>
  <c r="W46" i="10"/>
  <c r="X46" i="10"/>
  <c r="Y46" i="10"/>
  <c r="P47" i="10"/>
  <c r="Q47" i="10"/>
  <c r="R47" i="10"/>
  <c r="S47" i="10"/>
  <c r="T47" i="10"/>
  <c r="U47" i="10"/>
  <c r="V47" i="10"/>
  <c r="W47" i="10"/>
  <c r="X47" i="10"/>
  <c r="Y47" i="10"/>
  <c r="P48" i="10"/>
  <c r="Q48" i="10"/>
  <c r="R48" i="10"/>
  <c r="S48" i="10"/>
  <c r="T48" i="10"/>
  <c r="U48" i="10"/>
  <c r="V48" i="10"/>
  <c r="W48" i="10"/>
  <c r="X48" i="10"/>
  <c r="Y48" i="10"/>
  <c r="P49" i="10"/>
  <c r="Q49" i="10"/>
  <c r="R49" i="10"/>
  <c r="S49" i="10"/>
  <c r="T49" i="10"/>
  <c r="U49" i="10"/>
  <c r="V49" i="10"/>
  <c r="W49" i="10"/>
  <c r="X49" i="10"/>
  <c r="Y49" i="10"/>
  <c r="P50" i="10"/>
  <c r="Q50" i="10"/>
  <c r="R50" i="10"/>
  <c r="S50" i="10"/>
  <c r="T50" i="10"/>
  <c r="U50" i="10"/>
  <c r="V50" i="10"/>
  <c r="W50" i="10"/>
  <c r="X50" i="10"/>
  <c r="Y50" i="10"/>
  <c r="P51" i="10"/>
  <c r="Q51" i="10"/>
  <c r="R51" i="10"/>
  <c r="S51" i="10"/>
  <c r="T51" i="10"/>
  <c r="U51" i="10"/>
  <c r="V51" i="10"/>
  <c r="W51" i="10"/>
  <c r="X51" i="10"/>
  <c r="Y51" i="10"/>
  <c r="P52" i="10"/>
  <c r="Q52" i="10"/>
  <c r="R52" i="10"/>
  <c r="S52" i="10"/>
  <c r="T52" i="10"/>
  <c r="U52" i="10"/>
  <c r="V52" i="10"/>
  <c r="W52" i="10"/>
  <c r="X52" i="10"/>
  <c r="Y52" i="10"/>
  <c r="P53" i="10"/>
  <c r="Q53" i="10"/>
  <c r="R53" i="10"/>
  <c r="S53" i="10"/>
  <c r="T53" i="10"/>
  <c r="U53" i="10"/>
  <c r="V53" i="10"/>
  <c r="W53" i="10"/>
  <c r="X53" i="10"/>
  <c r="Y53" i="10"/>
  <c r="P54" i="10"/>
  <c r="Q54" i="10"/>
  <c r="R54" i="10"/>
  <c r="S54" i="10"/>
  <c r="T54" i="10"/>
  <c r="U54" i="10"/>
  <c r="V54" i="10"/>
  <c r="W54" i="10"/>
  <c r="X54" i="10"/>
  <c r="Y54" i="10"/>
  <c r="P55" i="10"/>
  <c r="Q55" i="10"/>
  <c r="R55" i="10"/>
  <c r="S55" i="10"/>
  <c r="T55" i="10"/>
  <c r="U55" i="10"/>
  <c r="V55" i="10"/>
  <c r="W55" i="10"/>
  <c r="X55" i="10"/>
  <c r="Y55" i="10"/>
  <c r="P56" i="10"/>
  <c r="Q56" i="10"/>
  <c r="R56" i="10"/>
  <c r="S56" i="10"/>
  <c r="T56" i="10"/>
  <c r="U56" i="10"/>
  <c r="V56" i="10"/>
  <c r="W56" i="10"/>
  <c r="X56" i="10"/>
  <c r="Y56" i="10"/>
  <c r="P57" i="10"/>
  <c r="Q57" i="10"/>
  <c r="R57" i="10"/>
  <c r="S57" i="10"/>
  <c r="T57" i="10"/>
  <c r="U57" i="10"/>
  <c r="V57" i="10"/>
  <c r="W57" i="10"/>
  <c r="X57" i="10"/>
  <c r="Y57" i="10"/>
  <c r="P58" i="10"/>
  <c r="Q58" i="10"/>
  <c r="R58" i="10"/>
  <c r="S58" i="10"/>
  <c r="T58" i="10"/>
  <c r="U58" i="10"/>
  <c r="V58" i="10"/>
  <c r="W58" i="10"/>
  <c r="X58" i="10"/>
  <c r="Y58" i="10"/>
  <c r="P59" i="10"/>
  <c r="Q59" i="10"/>
  <c r="R59" i="10"/>
  <c r="S59" i="10"/>
  <c r="T59" i="10"/>
  <c r="U59" i="10"/>
  <c r="V59" i="10"/>
  <c r="W59" i="10"/>
  <c r="X59" i="10"/>
  <c r="Y59" i="10"/>
  <c r="P60" i="10"/>
  <c r="Q60" i="10"/>
  <c r="R60" i="10"/>
  <c r="S60" i="10"/>
  <c r="T60" i="10"/>
  <c r="U60" i="10"/>
  <c r="V60" i="10"/>
  <c r="W60" i="10"/>
  <c r="X60" i="10"/>
  <c r="Y60" i="10"/>
  <c r="P61" i="10"/>
  <c r="Q61" i="10"/>
  <c r="R61" i="10"/>
  <c r="S61" i="10"/>
  <c r="T61" i="10"/>
  <c r="U61" i="10"/>
  <c r="V61" i="10"/>
  <c r="W61" i="10"/>
  <c r="X61" i="10"/>
  <c r="Y61" i="10"/>
  <c r="P62" i="10"/>
  <c r="Q62" i="10"/>
  <c r="R62" i="10"/>
  <c r="S62" i="10"/>
  <c r="T62" i="10"/>
  <c r="U62" i="10"/>
  <c r="V62" i="10"/>
  <c r="W62" i="10"/>
  <c r="X62" i="10"/>
  <c r="Y62" i="10"/>
  <c r="P63" i="10"/>
  <c r="Q63" i="10"/>
  <c r="R63" i="10"/>
  <c r="S63" i="10"/>
  <c r="T63" i="10"/>
  <c r="U63" i="10"/>
  <c r="V63" i="10"/>
  <c r="W63" i="10"/>
  <c r="X63" i="10"/>
  <c r="Y63" i="10"/>
  <c r="P64" i="10"/>
  <c r="Q64" i="10"/>
  <c r="R64" i="10"/>
  <c r="S64" i="10"/>
  <c r="T64" i="10"/>
  <c r="U64" i="10"/>
  <c r="V64" i="10"/>
  <c r="W64" i="10"/>
  <c r="X64" i="10"/>
  <c r="Y64" i="10"/>
  <c r="P65" i="10"/>
  <c r="Q65" i="10"/>
  <c r="R65" i="10"/>
  <c r="S65" i="10"/>
  <c r="T65" i="10"/>
  <c r="U65" i="10"/>
  <c r="V65" i="10"/>
  <c r="W65" i="10"/>
  <c r="X65" i="10"/>
  <c r="Y65" i="10"/>
  <c r="P66" i="10"/>
  <c r="Q66" i="10"/>
  <c r="R66" i="10"/>
  <c r="S66" i="10"/>
  <c r="T66" i="10"/>
  <c r="U66" i="10"/>
  <c r="V66" i="10"/>
  <c r="W66" i="10"/>
  <c r="X66" i="10"/>
  <c r="Y66" i="10"/>
  <c r="P67" i="10"/>
  <c r="Q67" i="10"/>
  <c r="R67" i="10"/>
  <c r="S67" i="10"/>
  <c r="T67" i="10"/>
  <c r="U67" i="10"/>
  <c r="V67" i="10"/>
  <c r="W67" i="10"/>
  <c r="X67" i="10"/>
  <c r="Y67" i="10"/>
  <c r="P68" i="10"/>
  <c r="Q68" i="10"/>
  <c r="R68" i="10"/>
  <c r="S68" i="10"/>
  <c r="T68" i="10"/>
  <c r="U68" i="10"/>
  <c r="V68" i="10"/>
  <c r="W68" i="10"/>
  <c r="X68" i="10"/>
  <c r="Y68" i="10"/>
  <c r="P69" i="10"/>
  <c r="Q69" i="10"/>
  <c r="R69" i="10"/>
  <c r="S69" i="10"/>
  <c r="T69" i="10"/>
  <c r="U69" i="10"/>
  <c r="V69" i="10"/>
  <c r="W69" i="10"/>
  <c r="X69" i="10"/>
  <c r="Y69" i="10"/>
  <c r="P70" i="10"/>
  <c r="Q70" i="10"/>
  <c r="R70" i="10"/>
  <c r="S70" i="10"/>
  <c r="T70" i="10"/>
  <c r="U70" i="10"/>
  <c r="V70" i="10"/>
  <c r="W70" i="10"/>
  <c r="X70" i="10"/>
  <c r="Y70" i="10"/>
  <c r="P71" i="10"/>
  <c r="Q71" i="10"/>
  <c r="R71" i="10"/>
  <c r="S71" i="10"/>
  <c r="T71" i="10"/>
  <c r="U71" i="10"/>
  <c r="V71" i="10"/>
  <c r="W71" i="10"/>
  <c r="X71" i="10"/>
  <c r="Y71" i="10"/>
  <c r="P72" i="10"/>
  <c r="Q72" i="10"/>
  <c r="R72" i="10"/>
  <c r="S72" i="10"/>
  <c r="T72" i="10"/>
  <c r="U72" i="10"/>
  <c r="V72" i="10"/>
  <c r="W72" i="10"/>
  <c r="X72" i="10"/>
  <c r="Y72" i="10"/>
  <c r="P73" i="10"/>
  <c r="Q73" i="10"/>
  <c r="R73" i="10"/>
  <c r="S73" i="10"/>
  <c r="T73" i="10"/>
  <c r="U73" i="10"/>
  <c r="V73" i="10"/>
  <c r="W73" i="10"/>
  <c r="X73" i="10"/>
  <c r="Y73" i="10"/>
  <c r="P74" i="10"/>
  <c r="Q74" i="10"/>
  <c r="R74" i="10"/>
  <c r="S74" i="10"/>
  <c r="T74" i="10"/>
  <c r="U74" i="10"/>
  <c r="V74" i="10"/>
  <c r="W74" i="10"/>
  <c r="X74" i="10"/>
  <c r="Y74" i="10"/>
  <c r="P75" i="10"/>
  <c r="Q75" i="10"/>
  <c r="R75" i="10"/>
  <c r="S75" i="10"/>
  <c r="T75" i="10"/>
  <c r="U75" i="10"/>
  <c r="V75" i="10"/>
  <c r="W75" i="10"/>
  <c r="X75" i="10"/>
  <c r="Y75" i="10"/>
  <c r="P76" i="10"/>
  <c r="Q76" i="10"/>
  <c r="R76" i="10"/>
  <c r="S76" i="10"/>
  <c r="T76" i="10"/>
  <c r="U76" i="10"/>
  <c r="V76" i="10"/>
  <c r="W76" i="10"/>
  <c r="X76" i="10"/>
  <c r="Y76" i="10"/>
  <c r="P77" i="10"/>
  <c r="Q77" i="10"/>
  <c r="R77" i="10"/>
  <c r="S77" i="10"/>
  <c r="T77" i="10"/>
  <c r="U77" i="10"/>
  <c r="V77" i="10"/>
  <c r="W77" i="10"/>
  <c r="X77" i="10"/>
  <c r="Y77" i="10"/>
  <c r="P78" i="10"/>
  <c r="Q78" i="10"/>
  <c r="R78" i="10"/>
  <c r="S78" i="10"/>
  <c r="T78" i="10"/>
  <c r="U78" i="10"/>
  <c r="V78" i="10"/>
  <c r="W78" i="10"/>
  <c r="X78" i="10"/>
  <c r="Y78" i="10"/>
  <c r="P79" i="10"/>
  <c r="Q79" i="10"/>
  <c r="R79" i="10"/>
  <c r="S79" i="10"/>
  <c r="T79" i="10"/>
  <c r="U79" i="10"/>
  <c r="V79" i="10"/>
  <c r="W79" i="10"/>
  <c r="X79" i="10"/>
  <c r="Y79" i="10"/>
  <c r="P80" i="10"/>
  <c r="Q80" i="10"/>
  <c r="R80" i="10"/>
  <c r="S80" i="10"/>
  <c r="T80" i="10"/>
  <c r="U80" i="10"/>
  <c r="V80" i="10"/>
  <c r="W80" i="10"/>
  <c r="X80" i="10"/>
  <c r="Y80" i="10"/>
  <c r="P81" i="10"/>
  <c r="Q81" i="10"/>
  <c r="R81" i="10"/>
  <c r="S81" i="10"/>
  <c r="T81" i="10"/>
  <c r="U81" i="10"/>
  <c r="V81" i="10"/>
  <c r="W81" i="10"/>
  <c r="X81" i="10"/>
  <c r="Y81" i="10"/>
  <c r="P82" i="10"/>
  <c r="Q82" i="10"/>
  <c r="R82" i="10"/>
  <c r="S82" i="10"/>
  <c r="T82" i="10"/>
  <c r="U82" i="10"/>
  <c r="V82" i="10"/>
  <c r="W82" i="10"/>
  <c r="X82" i="10"/>
  <c r="Y82" i="10"/>
  <c r="P83" i="10"/>
  <c r="Q83" i="10"/>
  <c r="R83" i="10"/>
  <c r="S83" i="10"/>
  <c r="T83" i="10"/>
  <c r="U83" i="10"/>
  <c r="V83" i="10"/>
  <c r="W83" i="10"/>
  <c r="X83" i="10"/>
  <c r="Y83" i="10"/>
  <c r="P84" i="10"/>
  <c r="Q84" i="10"/>
  <c r="R84" i="10"/>
  <c r="S84" i="10"/>
  <c r="T84" i="10"/>
  <c r="U84" i="10"/>
  <c r="V84" i="10"/>
  <c r="W84" i="10"/>
  <c r="X84" i="10"/>
  <c r="Y84" i="10"/>
  <c r="P85" i="10"/>
  <c r="Q85" i="10"/>
  <c r="R85" i="10"/>
  <c r="S85" i="10"/>
  <c r="T85" i="10"/>
  <c r="U85" i="10"/>
  <c r="V85" i="10"/>
  <c r="W85" i="10"/>
  <c r="X85" i="10"/>
  <c r="Y85" i="10"/>
  <c r="P86" i="10"/>
  <c r="Q86" i="10"/>
  <c r="R86" i="10"/>
  <c r="S86" i="10"/>
  <c r="T86" i="10"/>
  <c r="U86" i="10"/>
  <c r="V86" i="10"/>
  <c r="W86" i="10"/>
  <c r="X86" i="10"/>
  <c r="Y86" i="10"/>
  <c r="P87" i="10"/>
  <c r="Q87" i="10"/>
  <c r="R87" i="10"/>
  <c r="S87" i="10"/>
  <c r="T87" i="10"/>
  <c r="U87" i="10"/>
  <c r="V87" i="10"/>
  <c r="W87" i="10"/>
  <c r="X87" i="10"/>
  <c r="Y87" i="10"/>
  <c r="P88" i="10"/>
  <c r="Q88" i="10"/>
  <c r="R88" i="10"/>
  <c r="S88" i="10"/>
  <c r="T88" i="10"/>
  <c r="U88" i="10"/>
  <c r="V88" i="10"/>
  <c r="W88" i="10"/>
  <c r="X88" i="10"/>
  <c r="Y88" i="10"/>
  <c r="P89" i="10"/>
  <c r="Q89" i="10"/>
  <c r="R89" i="10"/>
  <c r="S89" i="10"/>
  <c r="T89" i="10"/>
  <c r="U89" i="10"/>
  <c r="V89" i="10"/>
  <c r="W89" i="10"/>
  <c r="X89" i="10"/>
  <c r="Y89" i="10"/>
  <c r="P90" i="10"/>
  <c r="Q90" i="10"/>
  <c r="R90" i="10"/>
  <c r="S90" i="10"/>
  <c r="T90" i="10"/>
  <c r="U90" i="10"/>
  <c r="V90" i="10"/>
  <c r="W90" i="10"/>
  <c r="X90" i="10"/>
  <c r="Y90" i="10"/>
  <c r="P91" i="10"/>
  <c r="Q91" i="10"/>
  <c r="R91" i="10"/>
  <c r="S91" i="10"/>
  <c r="T91" i="10"/>
  <c r="U91" i="10"/>
  <c r="V91" i="10"/>
  <c r="W91" i="10"/>
  <c r="X91" i="10"/>
  <c r="Y91" i="10"/>
  <c r="P92" i="10"/>
  <c r="Q92" i="10"/>
  <c r="R92" i="10"/>
  <c r="S92" i="10"/>
  <c r="T92" i="10"/>
  <c r="U92" i="10"/>
  <c r="V92" i="10"/>
  <c r="W92" i="10"/>
  <c r="X92" i="10"/>
  <c r="Y92" i="10"/>
  <c r="P93" i="10"/>
  <c r="Q93" i="10"/>
  <c r="R93" i="10"/>
  <c r="S93" i="10"/>
  <c r="T93" i="10"/>
  <c r="U93" i="10"/>
  <c r="V93" i="10"/>
  <c r="W93" i="10"/>
  <c r="X93" i="10"/>
  <c r="Y93" i="10"/>
  <c r="P94" i="10"/>
  <c r="Q94" i="10"/>
  <c r="R94" i="10"/>
  <c r="S94" i="10"/>
  <c r="T94" i="10"/>
  <c r="U94" i="10"/>
  <c r="V94" i="10"/>
  <c r="W94" i="10"/>
  <c r="X94" i="10"/>
  <c r="Y94" i="10"/>
  <c r="P95" i="10"/>
  <c r="Q95" i="10"/>
  <c r="R95" i="10"/>
  <c r="S95" i="10"/>
  <c r="T95" i="10"/>
  <c r="U95" i="10"/>
  <c r="V95" i="10"/>
  <c r="W95" i="10"/>
  <c r="X95" i="10"/>
  <c r="Y95" i="10"/>
  <c r="P96" i="10"/>
  <c r="Q96" i="10"/>
  <c r="R96" i="10"/>
  <c r="S96" i="10"/>
  <c r="T96" i="10"/>
  <c r="U96" i="10"/>
  <c r="V96" i="10"/>
  <c r="W96" i="10"/>
  <c r="X96" i="10"/>
  <c r="Y96" i="10"/>
  <c r="P97" i="10"/>
  <c r="Q97" i="10"/>
  <c r="R97" i="10"/>
  <c r="S97" i="10"/>
  <c r="T97" i="10"/>
  <c r="U97" i="10"/>
  <c r="V97" i="10"/>
  <c r="W97" i="10"/>
  <c r="X97" i="10"/>
  <c r="Y97" i="10"/>
  <c r="P98" i="10"/>
  <c r="Q98" i="10"/>
  <c r="R98" i="10"/>
  <c r="S98" i="10"/>
  <c r="T98" i="10"/>
  <c r="U98" i="10"/>
  <c r="V98" i="10"/>
  <c r="W98" i="10"/>
  <c r="X98" i="10"/>
  <c r="Y98" i="10"/>
  <c r="P99" i="10"/>
  <c r="Q99" i="10"/>
  <c r="R99" i="10"/>
  <c r="S99" i="10"/>
  <c r="T99" i="10"/>
  <c r="U99" i="10"/>
  <c r="V99" i="10"/>
  <c r="W99" i="10"/>
  <c r="X99" i="10"/>
  <c r="Y99" i="10"/>
  <c r="P100" i="10"/>
  <c r="Q100" i="10"/>
  <c r="R100" i="10"/>
  <c r="S100" i="10"/>
  <c r="T100" i="10"/>
  <c r="U100" i="10"/>
  <c r="V100" i="10"/>
  <c r="W100" i="10"/>
  <c r="X100" i="10"/>
  <c r="Y100" i="10"/>
  <c r="P101" i="10"/>
  <c r="Q101" i="10"/>
  <c r="R101" i="10"/>
  <c r="S101" i="10"/>
  <c r="T101" i="10"/>
  <c r="U101" i="10"/>
  <c r="V101" i="10"/>
  <c r="W101" i="10"/>
  <c r="X101" i="10"/>
  <c r="Y101" i="10"/>
  <c r="P102" i="10"/>
  <c r="Q102" i="10"/>
  <c r="R102" i="10"/>
  <c r="S102" i="10"/>
  <c r="T102" i="10"/>
  <c r="U102" i="10"/>
  <c r="V102" i="10"/>
  <c r="W102" i="10"/>
  <c r="X102" i="10"/>
  <c r="Y102" i="10"/>
  <c r="P103" i="10"/>
  <c r="Q103" i="10"/>
  <c r="R103" i="10"/>
  <c r="S103" i="10"/>
  <c r="T103" i="10"/>
  <c r="U103" i="10"/>
  <c r="V103" i="10"/>
  <c r="W103" i="10"/>
  <c r="X103" i="10"/>
  <c r="Y103" i="10"/>
  <c r="P104" i="10"/>
  <c r="Q104" i="10"/>
  <c r="R104" i="10"/>
  <c r="S104" i="10"/>
  <c r="T104" i="10"/>
  <c r="U104" i="10"/>
  <c r="V104" i="10"/>
  <c r="W104" i="10"/>
  <c r="X104" i="10"/>
  <c r="Y104" i="10"/>
  <c r="P105" i="10"/>
  <c r="Q105" i="10"/>
  <c r="R105" i="10"/>
  <c r="S105" i="10"/>
  <c r="T105" i="10"/>
  <c r="U105" i="10"/>
  <c r="V105" i="10"/>
  <c r="W105" i="10"/>
  <c r="X105" i="10"/>
  <c r="Y105" i="10"/>
  <c r="P106" i="10"/>
  <c r="Q106" i="10"/>
  <c r="R106" i="10"/>
  <c r="S106" i="10"/>
  <c r="T106" i="10"/>
  <c r="U106" i="10"/>
  <c r="V106" i="10"/>
  <c r="W106" i="10"/>
  <c r="X106" i="10"/>
  <c r="Y106" i="10"/>
  <c r="P107" i="10"/>
  <c r="Q107" i="10"/>
  <c r="R107" i="10"/>
  <c r="S107" i="10"/>
  <c r="T107" i="10"/>
  <c r="U107" i="10"/>
  <c r="V107" i="10"/>
  <c r="W107" i="10"/>
  <c r="X107" i="10"/>
  <c r="Y107" i="10"/>
  <c r="P108" i="10"/>
  <c r="Q108" i="10"/>
  <c r="R108" i="10"/>
  <c r="S108" i="10"/>
  <c r="T108" i="10"/>
  <c r="U108" i="10"/>
  <c r="V108" i="10"/>
  <c r="W108" i="10"/>
  <c r="X108" i="10"/>
  <c r="Y108" i="10"/>
  <c r="P109" i="10"/>
  <c r="Q109" i="10"/>
  <c r="R109" i="10"/>
  <c r="S109" i="10"/>
  <c r="T109" i="10"/>
  <c r="U109" i="10"/>
  <c r="V109" i="10"/>
  <c r="W109" i="10"/>
  <c r="X109" i="10"/>
  <c r="Y109" i="10"/>
  <c r="P110" i="10"/>
  <c r="Q110" i="10"/>
  <c r="R110" i="10"/>
  <c r="S110" i="10"/>
  <c r="T110" i="10"/>
  <c r="U110" i="10"/>
  <c r="V110" i="10"/>
  <c r="W110" i="10"/>
  <c r="X110" i="10"/>
  <c r="Y110" i="10"/>
  <c r="P111" i="10"/>
  <c r="Q111" i="10"/>
  <c r="R111" i="10"/>
  <c r="S111" i="10"/>
  <c r="T111" i="10"/>
  <c r="U111" i="10"/>
  <c r="V111" i="10"/>
  <c r="W111" i="10"/>
  <c r="X111" i="10"/>
  <c r="Y111" i="10"/>
  <c r="P112" i="10"/>
  <c r="Q112" i="10"/>
  <c r="R112" i="10"/>
  <c r="S112" i="10"/>
  <c r="T112" i="10"/>
  <c r="U112" i="10"/>
  <c r="V112" i="10"/>
  <c r="W112" i="10"/>
  <c r="X112" i="10"/>
  <c r="Y112" i="10"/>
  <c r="P113" i="10"/>
  <c r="Q113" i="10"/>
  <c r="R113" i="10"/>
  <c r="S113" i="10"/>
  <c r="T113" i="10"/>
  <c r="U113" i="10"/>
  <c r="V113" i="10"/>
  <c r="W113" i="10"/>
  <c r="X113" i="10"/>
  <c r="Y113" i="10"/>
  <c r="P114" i="10"/>
  <c r="Q114" i="10"/>
  <c r="R114" i="10"/>
  <c r="S114" i="10"/>
  <c r="T114" i="10"/>
  <c r="U114" i="10"/>
  <c r="V114" i="10"/>
  <c r="W114" i="10"/>
  <c r="X114" i="10"/>
  <c r="Y114" i="10"/>
  <c r="P115" i="10"/>
  <c r="Q115" i="10"/>
  <c r="R115" i="10"/>
  <c r="S115" i="10"/>
  <c r="T115" i="10"/>
  <c r="U115" i="10"/>
  <c r="V115" i="10"/>
  <c r="W115" i="10"/>
  <c r="X115" i="10"/>
  <c r="Y115" i="10"/>
  <c r="P116" i="10"/>
  <c r="Q116" i="10"/>
  <c r="R116" i="10"/>
  <c r="S116" i="10"/>
  <c r="T116" i="10"/>
  <c r="U116" i="10"/>
  <c r="V116" i="10"/>
  <c r="W116" i="10"/>
  <c r="X116" i="10"/>
  <c r="Y116" i="10"/>
  <c r="P117" i="10"/>
  <c r="Q117" i="10"/>
  <c r="R117" i="10"/>
  <c r="S117" i="10"/>
  <c r="T117" i="10"/>
  <c r="U117" i="10"/>
  <c r="V117" i="10"/>
  <c r="W117" i="10"/>
  <c r="X117" i="10"/>
  <c r="Y117" i="10"/>
  <c r="P118" i="10"/>
  <c r="Q118" i="10"/>
  <c r="R118" i="10"/>
  <c r="S118" i="10"/>
  <c r="T118" i="10"/>
  <c r="U118" i="10"/>
  <c r="V118" i="10"/>
  <c r="W118" i="10"/>
  <c r="X118" i="10"/>
  <c r="Y118" i="10"/>
  <c r="P119" i="10"/>
  <c r="Q119" i="10"/>
  <c r="R119" i="10"/>
  <c r="S119" i="10"/>
  <c r="T119" i="10"/>
  <c r="U119" i="10"/>
  <c r="V119" i="10"/>
  <c r="W119" i="10"/>
  <c r="X119" i="10"/>
  <c r="Y119" i="10"/>
  <c r="P120" i="10"/>
  <c r="Q120" i="10"/>
  <c r="R120" i="10"/>
  <c r="S120" i="10"/>
  <c r="T120" i="10"/>
  <c r="U120" i="10"/>
  <c r="V120" i="10"/>
  <c r="W120" i="10"/>
  <c r="X120" i="10"/>
  <c r="Y120" i="10"/>
  <c r="P121" i="10"/>
  <c r="Q121" i="10"/>
  <c r="R121" i="10"/>
  <c r="S121" i="10"/>
  <c r="T121" i="10"/>
  <c r="U121" i="10"/>
  <c r="V121" i="10"/>
  <c r="W121" i="10"/>
  <c r="X121" i="10"/>
  <c r="Y121" i="10"/>
  <c r="P122" i="10"/>
  <c r="Q122" i="10"/>
  <c r="R122" i="10"/>
  <c r="S122" i="10"/>
  <c r="T122" i="10"/>
  <c r="U122" i="10"/>
  <c r="V122" i="10"/>
  <c r="W122" i="10"/>
  <c r="X122" i="10"/>
  <c r="Y122" i="10"/>
  <c r="P123" i="10"/>
  <c r="Q123" i="10"/>
  <c r="R123" i="10"/>
  <c r="S123" i="10"/>
  <c r="T123" i="10"/>
  <c r="U123" i="10"/>
  <c r="V123" i="10"/>
  <c r="W123" i="10"/>
  <c r="X123" i="10"/>
  <c r="Y123" i="10"/>
  <c r="P124" i="10"/>
  <c r="Q124" i="10"/>
  <c r="R124" i="10"/>
  <c r="S124" i="10"/>
  <c r="T124" i="10"/>
  <c r="U124" i="10"/>
  <c r="V124" i="10"/>
  <c r="W124" i="10"/>
  <c r="X124" i="10"/>
  <c r="Y124" i="10"/>
  <c r="P125" i="10"/>
  <c r="Q125" i="10"/>
  <c r="R125" i="10"/>
  <c r="S125" i="10"/>
  <c r="T125" i="10"/>
  <c r="U125" i="10"/>
  <c r="V125" i="10"/>
  <c r="W125" i="10"/>
  <c r="X125" i="10"/>
  <c r="Y125" i="10"/>
  <c r="P126" i="10"/>
  <c r="Q126" i="10"/>
  <c r="R126" i="10"/>
  <c r="S126" i="10"/>
  <c r="T126" i="10"/>
  <c r="U126" i="10"/>
  <c r="V126" i="10"/>
  <c r="W126" i="10"/>
  <c r="X126" i="10"/>
  <c r="Y126" i="10"/>
  <c r="P127" i="10"/>
  <c r="Q127" i="10"/>
  <c r="R127" i="10"/>
  <c r="S127" i="10"/>
  <c r="T127" i="10"/>
  <c r="U127" i="10"/>
  <c r="V127" i="10"/>
  <c r="W127" i="10"/>
  <c r="X127" i="10"/>
  <c r="Y127" i="10"/>
  <c r="P128" i="10"/>
  <c r="Q128" i="10"/>
  <c r="R128" i="10"/>
  <c r="S128" i="10"/>
  <c r="T128" i="10"/>
  <c r="U128" i="10"/>
  <c r="V128" i="10"/>
  <c r="W128" i="10"/>
  <c r="X128" i="10"/>
  <c r="Y128" i="10"/>
  <c r="P129" i="10"/>
  <c r="Q129" i="10"/>
  <c r="R129" i="10"/>
  <c r="S129" i="10"/>
  <c r="T129" i="10"/>
  <c r="U129" i="10"/>
  <c r="V129" i="10"/>
  <c r="W129" i="10"/>
  <c r="X129" i="10"/>
  <c r="Y129" i="10"/>
  <c r="P130" i="10"/>
  <c r="Q130" i="10"/>
  <c r="R130" i="10"/>
  <c r="S130" i="10"/>
  <c r="T130" i="10"/>
  <c r="U130" i="10"/>
  <c r="V130" i="10"/>
  <c r="W130" i="10"/>
  <c r="X130" i="10"/>
  <c r="Y130" i="10"/>
  <c r="P131" i="10"/>
  <c r="Q131" i="10"/>
  <c r="R131" i="10"/>
  <c r="S131" i="10"/>
  <c r="T131" i="10"/>
  <c r="U131" i="10"/>
  <c r="V131" i="10"/>
  <c r="W131" i="10"/>
  <c r="X131" i="10"/>
  <c r="Y131" i="10"/>
  <c r="P132" i="10"/>
  <c r="Q132" i="10"/>
  <c r="R132" i="10"/>
  <c r="S132" i="10"/>
  <c r="T132" i="10"/>
  <c r="U132" i="10"/>
  <c r="V132" i="10"/>
  <c r="W132" i="10"/>
  <c r="X132" i="10"/>
  <c r="Y132" i="10"/>
  <c r="P133" i="10"/>
  <c r="Q133" i="10"/>
  <c r="R133" i="10"/>
  <c r="S133" i="10"/>
  <c r="T133" i="10"/>
  <c r="U133" i="10"/>
  <c r="V133" i="10"/>
  <c r="W133" i="10"/>
  <c r="X133" i="10"/>
  <c r="Y133" i="10"/>
  <c r="P134" i="10"/>
  <c r="Q134" i="10"/>
  <c r="R134" i="10"/>
  <c r="S134" i="10"/>
  <c r="T134" i="10"/>
  <c r="U134" i="10"/>
  <c r="V134" i="10"/>
  <c r="W134" i="10"/>
  <c r="X134" i="10"/>
  <c r="Y134" i="10"/>
  <c r="P135" i="10"/>
  <c r="Q135" i="10"/>
  <c r="R135" i="10"/>
  <c r="S135" i="10"/>
  <c r="T135" i="10"/>
  <c r="U135" i="10"/>
  <c r="V135" i="10"/>
  <c r="W135" i="10"/>
  <c r="X135" i="10"/>
  <c r="Y135" i="10"/>
  <c r="P136" i="10"/>
  <c r="Q136" i="10"/>
  <c r="R136" i="10"/>
  <c r="S136" i="10"/>
  <c r="T136" i="10"/>
  <c r="U136" i="10"/>
  <c r="V136" i="10"/>
  <c r="W136" i="10"/>
  <c r="X136" i="10"/>
  <c r="Y136" i="10"/>
  <c r="P137" i="10"/>
  <c r="Q137" i="10"/>
  <c r="R137" i="10"/>
  <c r="S137" i="10"/>
  <c r="T137" i="10"/>
  <c r="U137" i="10"/>
  <c r="V137" i="10"/>
  <c r="W137" i="10"/>
  <c r="X137" i="10"/>
  <c r="Y137" i="10"/>
  <c r="P138" i="10"/>
  <c r="Q138" i="10"/>
  <c r="R138" i="10"/>
  <c r="S138" i="10"/>
  <c r="T138" i="10"/>
  <c r="U138" i="10"/>
  <c r="V138" i="10"/>
  <c r="W138" i="10"/>
  <c r="X138" i="10"/>
  <c r="Y138" i="10"/>
  <c r="P139" i="10"/>
  <c r="Q139" i="10"/>
  <c r="R139" i="10"/>
  <c r="S139" i="10"/>
  <c r="T139" i="10"/>
  <c r="U139" i="10"/>
  <c r="V139" i="10"/>
  <c r="W139" i="10"/>
  <c r="X139" i="10"/>
  <c r="Y139" i="10"/>
  <c r="P140" i="10"/>
  <c r="Q140" i="10"/>
  <c r="R140" i="10"/>
  <c r="S140" i="10"/>
  <c r="T140" i="10"/>
  <c r="U140" i="10"/>
  <c r="V140" i="10"/>
  <c r="W140" i="10"/>
  <c r="X140" i="10"/>
  <c r="Y140" i="10"/>
  <c r="P141" i="10"/>
  <c r="Q141" i="10"/>
  <c r="R141" i="10"/>
  <c r="S141" i="10"/>
  <c r="T141" i="10"/>
  <c r="U141" i="10"/>
  <c r="V141" i="10"/>
  <c r="W141" i="10"/>
  <c r="X141" i="10"/>
  <c r="Y141" i="10"/>
  <c r="P142" i="10"/>
  <c r="Q142" i="10"/>
  <c r="R142" i="10"/>
  <c r="S142" i="10"/>
  <c r="T142" i="10"/>
  <c r="U142" i="10"/>
  <c r="V142" i="10"/>
  <c r="W142" i="10"/>
  <c r="X142" i="10"/>
  <c r="Y142" i="10"/>
  <c r="P143" i="10"/>
  <c r="Q143" i="10"/>
  <c r="R143" i="10"/>
  <c r="S143" i="10"/>
  <c r="T143" i="10"/>
  <c r="U143" i="10"/>
  <c r="V143" i="10"/>
  <c r="W143" i="10"/>
  <c r="X143" i="10"/>
  <c r="Y143" i="10"/>
  <c r="P144" i="10"/>
  <c r="Q144" i="10"/>
  <c r="R144" i="10"/>
  <c r="S144" i="10"/>
  <c r="T144" i="10"/>
  <c r="U144" i="10"/>
  <c r="V144" i="10"/>
  <c r="W144" i="10"/>
  <c r="X144" i="10"/>
  <c r="Y144" i="10"/>
  <c r="P145" i="10"/>
  <c r="Q145" i="10"/>
  <c r="R145" i="10"/>
  <c r="S145" i="10"/>
  <c r="T145" i="10"/>
  <c r="U145" i="10"/>
  <c r="V145" i="10"/>
  <c r="W145" i="10"/>
  <c r="X145" i="10"/>
  <c r="Y145" i="10"/>
  <c r="P146" i="10"/>
  <c r="Q146" i="10"/>
  <c r="R146" i="10"/>
  <c r="S146" i="10"/>
  <c r="T146" i="10"/>
  <c r="U146" i="10"/>
  <c r="V146" i="10"/>
  <c r="W146" i="10"/>
  <c r="X146" i="10"/>
  <c r="Y146" i="10"/>
  <c r="P147" i="10"/>
  <c r="Q147" i="10"/>
  <c r="R147" i="10"/>
  <c r="S147" i="10"/>
  <c r="T147" i="10"/>
  <c r="U147" i="10"/>
  <c r="V147" i="10"/>
  <c r="W147" i="10"/>
  <c r="X147" i="10"/>
  <c r="Y147" i="10"/>
  <c r="P148" i="10"/>
  <c r="Q148" i="10"/>
  <c r="R148" i="10"/>
  <c r="S148" i="10"/>
  <c r="T148" i="10"/>
  <c r="U148" i="10"/>
  <c r="V148" i="10"/>
  <c r="W148" i="10"/>
  <c r="X148" i="10"/>
  <c r="Y148" i="10"/>
  <c r="P149" i="10"/>
  <c r="Q149" i="10"/>
  <c r="R149" i="10"/>
  <c r="S149" i="10"/>
  <c r="T149" i="10"/>
  <c r="U149" i="10"/>
  <c r="V149" i="10"/>
  <c r="W149" i="10"/>
  <c r="X149" i="10"/>
  <c r="Y149" i="10"/>
  <c r="P150" i="10"/>
  <c r="Q150" i="10"/>
  <c r="R150" i="10"/>
  <c r="S150" i="10"/>
  <c r="T150" i="10"/>
  <c r="U150" i="10"/>
  <c r="V150" i="10"/>
  <c r="W150" i="10"/>
  <c r="X150" i="10"/>
  <c r="Y150" i="10"/>
  <c r="P151" i="10"/>
  <c r="Q151" i="10"/>
  <c r="R151" i="10"/>
  <c r="S151" i="10"/>
  <c r="T151" i="10"/>
  <c r="U151" i="10"/>
  <c r="V151" i="10"/>
  <c r="W151" i="10"/>
  <c r="X151" i="10"/>
  <c r="Y151" i="10"/>
  <c r="P152" i="10"/>
  <c r="Q152" i="10"/>
  <c r="R152" i="10"/>
  <c r="S152" i="10"/>
  <c r="T152" i="10"/>
  <c r="U152" i="10"/>
  <c r="V152" i="10"/>
  <c r="W152" i="10"/>
  <c r="X152" i="10"/>
  <c r="Y152" i="10"/>
  <c r="P153" i="10"/>
  <c r="Q153" i="10"/>
  <c r="R153" i="10"/>
  <c r="S153" i="10"/>
  <c r="T153" i="10"/>
  <c r="U153" i="10"/>
  <c r="V153" i="10"/>
  <c r="W153" i="10"/>
  <c r="X153" i="10"/>
  <c r="Y153" i="10"/>
  <c r="P154" i="10"/>
  <c r="Q154" i="10"/>
  <c r="R154" i="10"/>
  <c r="S154" i="10"/>
  <c r="T154" i="10"/>
  <c r="U154" i="10"/>
  <c r="V154" i="10"/>
  <c r="W154" i="10"/>
  <c r="X154" i="10"/>
  <c r="Y154" i="10"/>
  <c r="P155" i="10"/>
  <c r="Q155" i="10"/>
  <c r="R155" i="10"/>
  <c r="S155" i="10"/>
  <c r="T155" i="10"/>
  <c r="U155" i="10"/>
  <c r="V155" i="10"/>
  <c r="W155" i="10"/>
  <c r="X155" i="10"/>
  <c r="Y155" i="10"/>
  <c r="P156" i="10"/>
  <c r="Q156" i="10"/>
  <c r="R156" i="10"/>
  <c r="S156" i="10"/>
  <c r="T156" i="10"/>
  <c r="U156" i="10"/>
  <c r="V156" i="10"/>
  <c r="W156" i="10"/>
  <c r="X156" i="10"/>
  <c r="Y156" i="10"/>
  <c r="P157" i="10"/>
  <c r="Q157" i="10"/>
  <c r="R157" i="10"/>
  <c r="S157" i="10"/>
  <c r="T157" i="10"/>
  <c r="U157" i="10"/>
  <c r="V157" i="10"/>
  <c r="W157" i="10"/>
  <c r="X157" i="10"/>
  <c r="Y157" i="10"/>
  <c r="P158" i="10"/>
  <c r="Q158" i="10"/>
  <c r="R158" i="10"/>
  <c r="S158" i="10"/>
  <c r="T158" i="10"/>
  <c r="U158" i="10"/>
  <c r="V158" i="10"/>
  <c r="W158" i="10"/>
  <c r="X158" i="10"/>
  <c r="Y158" i="10"/>
  <c r="P159" i="10"/>
  <c r="Q159" i="10"/>
  <c r="R159" i="10"/>
  <c r="S159" i="10"/>
  <c r="T159" i="10"/>
  <c r="U159" i="10"/>
  <c r="V159" i="10"/>
  <c r="W159" i="10"/>
  <c r="X159" i="10"/>
  <c r="Y159" i="10"/>
  <c r="P160" i="10"/>
  <c r="Q160" i="10"/>
  <c r="R160" i="10"/>
  <c r="S160" i="10"/>
  <c r="T160" i="10"/>
  <c r="U160" i="10"/>
  <c r="V160" i="10"/>
  <c r="W160" i="10"/>
  <c r="X160" i="10"/>
  <c r="Y160" i="10"/>
  <c r="P161" i="10"/>
  <c r="Q161" i="10"/>
  <c r="R161" i="10"/>
  <c r="S161" i="10"/>
  <c r="T161" i="10"/>
  <c r="U161" i="10"/>
  <c r="V161" i="10"/>
  <c r="W161" i="10"/>
  <c r="X161" i="10"/>
  <c r="Y161" i="10"/>
  <c r="P162" i="10"/>
  <c r="Q162" i="10"/>
  <c r="R162" i="10"/>
  <c r="S162" i="10"/>
  <c r="T162" i="10"/>
  <c r="U162" i="10"/>
  <c r="V162" i="10"/>
  <c r="W162" i="10"/>
  <c r="X162" i="10"/>
  <c r="Y162" i="10"/>
  <c r="P163" i="10"/>
  <c r="Q163" i="10"/>
  <c r="R163" i="10"/>
  <c r="S163" i="10"/>
  <c r="T163" i="10"/>
  <c r="U163" i="10"/>
  <c r="V163" i="10"/>
  <c r="W163" i="10"/>
  <c r="X163" i="10"/>
  <c r="Y163" i="10"/>
  <c r="P164" i="10"/>
  <c r="Q164" i="10"/>
  <c r="R164" i="10"/>
  <c r="S164" i="10"/>
  <c r="T164" i="10"/>
  <c r="U164" i="10"/>
  <c r="V164" i="10"/>
  <c r="W164" i="10"/>
  <c r="X164" i="10"/>
  <c r="Y164" i="10"/>
  <c r="P165" i="10"/>
  <c r="Q165" i="10"/>
  <c r="R165" i="10"/>
  <c r="S165" i="10"/>
  <c r="T165" i="10"/>
  <c r="U165" i="10"/>
  <c r="V165" i="10"/>
  <c r="W165" i="10"/>
  <c r="X165" i="10"/>
  <c r="Y165" i="10"/>
  <c r="P166" i="10"/>
  <c r="Q166" i="10"/>
  <c r="R166" i="10"/>
  <c r="S166" i="10"/>
  <c r="T166" i="10"/>
  <c r="U166" i="10"/>
  <c r="V166" i="10"/>
  <c r="W166" i="10"/>
  <c r="X166" i="10"/>
  <c r="Y166" i="10"/>
  <c r="P167" i="10"/>
  <c r="Q167" i="10"/>
  <c r="R167" i="10"/>
  <c r="S167" i="10"/>
  <c r="T167" i="10"/>
  <c r="U167" i="10"/>
  <c r="V167" i="10"/>
  <c r="W167" i="10"/>
  <c r="X167" i="10"/>
  <c r="Y167" i="10"/>
  <c r="P168" i="10"/>
  <c r="Q168" i="10"/>
  <c r="R168" i="10"/>
  <c r="S168" i="10"/>
  <c r="T168" i="10"/>
  <c r="U168" i="10"/>
  <c r="V168" i="10"/>
  <c r="W168" i="10"/>
  <c r="X168" i="10"/>
  <c r="Y168" i="10"/>
  <c r="P169" i="10"/>
  <c r="Q169" i="10"/>
  <c r="R169" i="10"/>
  <c r="S169" i="10"/>
  <c r="T169" i="10"/>
  <c r="U169" i="10"/>
  <c r="V169" i="10"/>
  <c r="W169" i="10"/>
  <c r="X169" i="10"/>
  <c r="Y169" i="10"/>
  <c r="P170" i="10"/>
  <c r="Q170" i="10"/>
  <c r="R170" i="10"/>
  <c r="S170" i="10"/>
  <c r="T170" i="10"/>
  <c r="U170" i="10"/>
  <c r="V170" i="10"/>
  <c r="W170" i="10"/>
  <c r="X170" i="10"/>
  <c r="Y170" i="10"/>
  <c r="P171" i="10"/>
  <c r="Q171" i="10"/>
  <c r="R171" i="10"/>
  <c r="S171" i="10"/>
  <c r="T171" i="10"/>
  <c r="U171" i="10"/>
  <c r="V171" i="10"/>
  <c r="W171" i="10"/>
  <c r="X171" i="10"/>
  <c r="Y171" i="10"/>
  <c r="P172" i="10"/>
  <c r="Q172" i="10"/>
  <c r="R172" i="10"/>
  <c r="S172" i="10"/>
  <c r="T172" i="10"/>
  <c r="U172" i="10"/>
  <c r="V172" i="10"/>
  <c r="W172" i="10"/>
  <c r="X172" i="10"/>
  <c r="Y172" i="10"/>
  <c r="P173" i="10"/>
  <c r="Q173" i="10"/>
  <c r="R173" i="10"/>
  <c r="S173" i="10"/>
  <c r="T173" i="10"/>
  <c r="U173" i="10"/>
  <c r="V173" i="10"/>
  <c r="W173" i="10"/>
  <c r="X173" i="10"/>
  <c r="Y173" i="10"/>
  <c r="P174" i="10"/>
  <c r="Q174" i="10"/>
  <c r="R174" i="10"/>
  <c r="S174" i="10"/>
  <c r="T174" i="10"/>
  <c r="U174" i="10"/>
  <c r="V174" i="10"/>
  <c r="W174" i="10"/>
  <c r="X174" i="10"/>
  <c r="Y174" i="10"/>
  <c r="P175" i="10"/>
  <c r="Q175" i="10"/>
  <c r="R175" i="10"/>
  <c r="S175" i="10"/>
  <c r="T175" i="10"/>
  <c r="U175" i="10"/>
  <c r="V175" i="10"/>
  <c r="W175" i="10"/>
  <c r="X175" i="10"/>
  <c r="Y175" i="10"/>
  <c r="P176" i="10"/>
  <c r="Q176" i="10"/>
  <c r="R176" i="10"/>
  <c r="S176" i="10"/>
  <c r="T176" i="10"/>
  <c r="U176" i="10"/>
  <c r="V176" i="10"/>
  <c r="W176" i="10"/>
  <c r="X176" i="10"/>
  <c r="Y176" i="10"/>
  <c r="P177" i="10"/>
  <c r="Q177" i="10"/>
  <c r="R177" i="10"/>
  <c r="S177" i="10"/>
  <c r="T177" i="10"/>
  <c r="U177" i="10"/>
  <c r="V177" i="10"/>
  <c r="W177" i="10"/>
  <c r="X177" i="10"/>
  <c r="Y177" i="10"/>
  <c r="P178" i="10"/>
  <c r="Q178" i="10"/>
  <c r="R178" i="10"/>
  <c r="S178" i="10"/>
  <c r="T178" i="10"/>
  <c r="U178" i="10"/>
  <c r="V178" i="10"/>
  <c r="W178" i="10"/>
  <c r="X178" i="10"/>
  <c r="Y178" i="10"/>
  <c r="P179" i="10"/>
  <c r="Q179" i="10"/>
  <c r="R179" i="10"/>
  <c r="S179" i="10"/>
  <c r="T179" i="10"/>
  <c r="U179" i="10"/>
  <c r="V179" i="10"/>
  <c r="W179" i="10"/>
  <c r="X179" i="10"/>
  <c r="Y179" i="10"/>
  <c r="P180" i="10"/>
  <c r="Q180" i="10"/>
  <c r="R180" i="10"/>
  <c r="S180" i="10"/>
  <c r="T180" i="10"/>
  <c r="U180" i="10"/>
  <c r="V180" i="10"/>
  <c r="W180" i="10"/>
  <c r="X180" i="10"/>
  <c r="Y180" i="10"/>
  <c r="P181" i="10"/>
  <c r="Q181" i="10"/>
  <c r="R181" i="10"/>
  <c r="S181" i="10"/>
  <c r="T181" i="10"/>
  <c r="U181" i="10"/>
  <c r="V181" i="10"/>
  <c r="W181" i="10"/>
  <c r="X181" i="10"/>
  <c r="Y181" i="10"/>
  <c r="P182" i="10"/>
  <c r="Q182" i="10"/>
  <c r="R182" i="10"/>
  <c r="S182" i="10"/>
  <c r="T182" i="10"/>
  <c r="U182" i="10"/>
  <c r="V182" i="10"/>
  <c r="W182" i="10"/>
  <c r="X182" i="10"/>
  <c r="Y182" i="10"/>
  <c r="P183" i="10"/>
  <c r="Q183" i="10"/>
  <c r="R183" i="10"/>
  <c r="S183" i="10"/>
  <c r="T183" i="10"/>
  <c r="U183" i="10"/>
  <c r="V183" i="10"/>
  <c r="W183" i="10"/>
  <c r="X183" i="10"/>
  <c r="Y183" i="10"/>
  <c r="P184" i="10"/>
  <c r="Q184" i="10"/>
  <c r="R184" i="10"/>
  <c r="S184" i="10"/>
  <c r="T184" i="10"/>
  <c r="U184" i="10"/>
  <c r="V184" i="10"/>
  <c r="W184" i="10"/>
  <c r="X184" i="10"/>
  <c r="Y184" i="10"/>
  <c r="P185" i="10"/>
  <c r="Q185" i="10"/>
  <c r="R185" i="10"/>
  <c r="S185" i="10"/>
  <c r="T185" i="10"/>
  <c r="U185" i="10"/>
  <c r="V185" i="10"/>
  <c r="W185" i="10"/>
  <c r="X185" i="10"/>
  <c r="Y185" i="10"/>
  <c r="P186" i="10"/>
  <c r="Q186" i="10"/>
  <c r="R186" i="10"/>
  <c r="S186" i="10"/>
  <c r="T186" i="10"/>
  <c r="U186" i="10"/>
  <c r="V186" i="10"/>
  <c r="W186" i="10"/>
  <c r="X186" i="10"/>
  <c r="Y186" i="10"/>
  <c r="P187" i="10"/>
  <c r="Q187" i="10"/>
  <c r="R187" i="10"/>
  <c r="S187" i="10"/>
  <c r="T187" i="10"/>
  <c r="U187" i="10"/>
  <c r="V187" i="10"/>
  <c r="W187" i="10"/>
  <c r="X187" i="10"/>
  <c r="Y187" i="10"/>
  <c r="P188" i="10"/>
  <c r="Q188" i="10"/>
  <c r="R188" i="10"/>
  <c r="S188" i="10"/>
  <c r="T188" i="10"/>
  <c r="U188" i="10"/>
  <c r="V188" i="10"/>
  <c r="W188" i="10"/>
  <c r="X188" i="10"/>
  <c r="Y188" i="10"/>
  <c r="P189" i="10"/>
  <c r="Q189" i="10"/>
  <c r="R189" i="10"/>
  <c r="S189" i="10"/>
  <c r="T189" i="10"/>
  <c r="U189" i="10"/>
  <c r="V189" i="10"/>
  <c r="W189" i="10"/>
  <c r="X189" i="10"/>
  <c r="Y189" i="10"/>
  <c r="P190" i="10"/>
  <c r="Q190" i="10"/>
  <c r="R190" i="10"/>
  <c r="S190" i="10"/>
  <c r="T190" i="10"/>
  <c r="U190" i="10"/>
  <c r="V190" i="10"/>
  <c r="W190" i="10"/>
  <c r="X190" i="10"/>
  <c r="Y190" i="10"/>
  <c r="P191" i="10"/>
  <c r="Q191" i="10"/>
  <c r="R191" i="10"/>
  <c r="S191" i="10"/>
  <c r="T191" i="10"/>
  <c r="U191" i="10"/>
  <c r="V191" i="10"/>
  <c r="W191" i="10"/>
  <c r="X191" i="10"/>
  <c r="Y191" i="10"/>
  <c r="P192" i="10"/>
  <c r="Q192" i="10"/>
  <c r="R192" i="10"/>
  <c r="S192" i="10"/>
  <c r="T192" i="10"/>
  <c r="U192" i="10"/>
  <c r="V192" i="10"/>
  <c r="W192" i="10"/>
  <c r="X192" i="10"/>
  <c r="Y192" i="10"/>
  <c r="P193" i="10"/>
  <c r="Q193" i="10"/>
  <c r="R193" i="10"/>
  <c r="S193" i="10"/>
  <c r="T193" i="10"/>
  <c r="U193" i="10"/>
  <c r="V193" i="10"/>
  <c r="W193" i="10"/>
  <c r="X193" i="10"/>
  <c r="Y193" i="10"/>
  <c r="P194" i="10"/>
  <c r="Q194" i="10"/>
  <c r="R194" i="10"/>
  <c r="S194" i="10"/>
  <c r="T194" i="10"/>
  <c r="U194" i="10"/>
  <c r="V194" i="10"/>
  <c r="W194" i="10"/>
  <c r="X194" i="10"/>
  <c r="Y194" i="10"/>
  <c r="P195" i="10"/>
  <c r="Q195" i="10"/>
  <c r="R195" i="10"/>
  <c r="S195" i="10"/>
  <c r="T195" i="10"/>
  <c r="U195" i="10"/>
  <c r="V195" i="10"/>
  <c r="W195" i="10"/>
  <c r="X195" i="10"/>
  <c r="Y195" i="10"/>
  <c r="P196" i="10"/>
  <c r="Q196" i="10"/>
  <c r="R196" i="10"/>
  <c r="S196" i="10"/>
  <c r="T196" i="10"/>
  <c r="U196" i="10"/>
  <c r="V196" i="10"/>
  <c r="W196" i="10"/>
  <c r="X196" i="10"/>
  <c r="Y196" i="10"/>
  <c r="P197" i="10"/>
  <c r="Q197" i="10"/>
  <c r="R197" i="10"/>
  <c r="S197" i="10"/>
  <c r="T197" i="10"/>
  <c r="U197" i="10"/>
  <c r="V197" i="10"/>
  <c r="W197" i="10"/>
  <c r="X197" i="10"/>
  <c r="Y197" i="10"/>
  <c r="P198" i="10"/>
  <c r="Q198" i="10"/>
  <c r="R198" i="10"/>
  <c r="S198" i="10"/>
  <c r="T198" i="10"/>
  <c r="U198" i="10"/>
  <c r="V198" i="10"/>
  <c r="W198" i="10"/>
  <c r="X198" i="10"/>
  <c r="Y198" i="10"/>
  <c r="P199" i="10"/>
  <c r="Q199" i="10"/>
  <c r="R199" i="10"/>
  <c r="S199" i="10"/>
  <c r="T199" i="10"/>
  <c r="U199" i="10"/>
  <c r="V199" i="10"/>
  <c r="W199" i="10"/>
  <c r="X199" i="10"/>
  <c r="Y199" i="10"/>
  <c r="P200" i="10"/>
  <c r="Q200" i="10"/>
  <c r="R200" i="10"/>
  <c r="S200" i="10"/>
  <c r="T200" i="10"/>
  <c r="U200" i="10"/>
  <c r="V200" i="10"/>
  <c r="W200" i="10"/>
  <c r="X200" i="10"/>
  <c r="Y200" i="10"/>
  <c r="P201" i="10"/>
  <c r="Q201" i="10"/>
  <c r="R201" i="10"/>
  <c r="S201" i="10"/>
  <c r="T201" i="10"/>
  <c r="U201" i="10"/>
  <c r="V201" i="10"/>
  <c r="W201" i="10"/>
  <c r="X201" i="10"/>
  <c r="Y201" i="10"/>
  <c r="P202" i="10"/>
  <c r="Q202" i="10"/>
  <c r="R202" i="10"/>
  <c r="S202" i="10"/>
  <c r="T202" i="10"/>
  <c r="U202" i="10"/>
  <c r="V202" i="10"/>
  <c r="W202" i="10"/>
  <c r="X202" i="10"/>
  <c r="Y202" i="10"/>
  <c r="P203" i="10"/>
  <c r="Q203" i="10"/>
  <c r="R203" i="10"/>
  <c r="S203" i="10"/>
  <c r="T203" i="10"/>
  <c r="U203" i="10"/>
  <c r="V203" i="10"/>
  <c r="W203" i="10"/>
  <c r="X203" i="10"/>
  <c r="Y203" i="10"/>
  <c r="P204" i="10"/>
  <c r="Q204" i="10"/>
  <c r="R204" i="10"/>
  <c r="S204" i="10"/>
  <c r="T204" i="10"/>
  <c r="U204" i="10"/>
  <c r="V204" i="10"/>
  <c r="W204" i="10"/>
  <c r="X204" i="10"/>
  <c r="Y204" i="10"/>
  <c r="P205" i="10"/>
  <c r="Q205" i="10"/>
  <c r="R205" i="10"/>
  <c r="S205" i="10"/>
  <c r="T205" i="10"/>
  <c r="U205" i="10"/>
  <c r="V205" i="10"/>
  <c r="W205" i="10"/>
  <c r="X205" i="10"/>
  <c r="Y205" i="10"/>
  <c r="P206" i="10"/>
  <c r="Q206" i="10"/>
  <c r="R206" i="10"/>
  <c r="S206" i="10"/>
  <c r="T206" i="10"/>
  <c r="U206" i="10"/>
  <c r="V206" i="10"/>
  <c r="W206" i="10"/>
  <c r="X206" i="10"/>
  <c r="Y206" i="10"/>
  <c r="P207" i="10"/>
  <c r="Q207" i="10"/>
  <c r="R207" i="10"/>
  <c r="S207" i="10"/>
  <c r="T207" i="10"/>
  <c r="U207" i="10"/>
  <c r="V207" i="10"/>
  <c r="W207" i="10"/>
  <c r="X207" i="10"/>
  <c r="Y207" i="10"/>
  <c r="P208" i="10"/>
  <c r="Q208" i="10"/>
  <c r="R208" i="10"/>
  <c r="S208" i="10"/>
  <c r="T208" i="10"/>
  <c r="U208" i="10"/>
  <c r="V208" i="10"/>
  <c r="W208" i="10"/>
  <c r="X208" i="10"/>
  <c r="Y208" i="10"/>
  <c r="P209" i="10"/>
  <c r="Q209" i="10"/>
  <c r="R209" i="10"/>
  <c r="S209" i="10"/>
  <c r="T209" i="10"/>
  <c r="U209" i="10"/>
  <c r="V209" i="10"/>
  <c r="W209" i="10"/>
  <c r="X209" i="10"/>
  <c r="Y209" i="10"/>
  <c r="P210" i="10"/>
  <c r="Q210" i="10"/>
  <c r="R210" i="10"/>
  <c r="S210" i="10"/>
  <c r="T210" i="10"/>
  <c r="U210" i="10"/>
  <c r="V210" i="10"/>
  <c r="W210" i="10"/>
  <c r="X210" i="10"/>
  <c r="Y210" i="10"/>
  <c r="P211" i="10"/>
  <c r="Q211" i="10"/>
  <c r="R211" i="10"/>
  <c r="S211" i="10"/>
  <c r="T211" i="10"/>
  <c r="U211" i="10"/>
  <c r="V211" i="10"/>
  <c r="W211" i="10"/>
  <c r="X211" i="10"/>
  <c r="Y211" i="10"/>
  <c r="P212" i="10"/>
  <c r="Q212" i="10"/>
  <c r="R212" i="10"/>
  <c r="S212" i="10"/>
  <c r="T212" i="10"/>
  <c r="U212" i="10"/>
  <c r="V212" i="10"/>
  <c r="W212" i="10"/>
  <c r="X212" i="10"/>
  <c r="Y212" i="10"/>
  <c r="P213" i="10"/>
  <c r="Q213" i="10"/>
  <c r="R213" i="10"/>
  <c r="S213" i="10"/>
  <c r="T213" i="10"/>
  <c r="U213" i="10"/>
  <c r="V213" i="10"/>
  <c r="W213" i="10"/>
  <c r="X213" i="10"/>
  <c r="Y213" i="10"/>
  <c r="P214" i="10"/>
  <c r="Q214" i="10"/>
  <c r="R214" i="10"/>
  <c r="S214" i="10"/>
  <c r="T214" i="10"/>
  <c r="U214" i="10"/>
  <c r="V214" i="10"/>
  <c r="W214" i="10"/>
  <c r="X214" i="10"/>
  <c r="Y214" i="10"/>
  <c r="P215" i="10"/>
  <c r="Q215" i="10"/>
  <c r="R215" i="10"/>
  <c r="S215" i="10"/>
  <c r="T215" i="10"/>
  <c r="U215" i="10"/>
  <c r="V215" i="10"/>
  <c r="W215" i="10"/>
  <c r="X215" i="10"/>
  <c r="Y215" i="10"/>
  <c r="P216" i="10"/>
  <c r="Q216" i="10"/>
  <c r="R216" i="10"/>
  <c r="S216" i="10"/>
  <c r="T216" i="10"/>
  <c r="U216" i="10"/>
  <c r="V216" i="10"/>
  <c r="W216" i="10"/>
  <c r="X216" i="10"/>
  <c r="Y216" i="10"/>
  <c r="P217" i="10"/>
  <c r="Q217" i="10"/>
  <c r="R217" i="10"/>
  <c r="S217" i="10"/>
  <c r="T217" i="10"/>
  <c r="U217" i="10"/>
  <c r="V217" i="10"/>
  <c r="W217" i="10"/>
  <c r="X217" i="10"/>
  <c r="Y217" i="10"/>
  <c r="P218" i="10"/>
  <c r="Q218" i="10"/>
  <c r="R218" i="10"/>
  <c r="S218" i="10"/>
  <c r="T218" i="10"/>
  <c r="U218" i="10"/>
  <c r="V218" i="10"/>
  <c r="W218" i="10"/>
  <c r="X218" i="10"/>
  <c r="Y218" i="10"/>
  <c r="P219" i="10"/>
  <c r="Q219" i="10"/>
  <c r="R219" i="10"/>
  <c r="S219" i="10"/>
  <c r="T219" i="10"/>
  <c r="U219" i="10"/>
  <c r="V219" i="10"/>
  <c r="W219" i="10"/>
  <c r="X219" i="10"/>
  <c r="Y219" i="10"/>
  <c r="P220" i="10"/>
  <c r="Q220" i="10"/>
  <c r="R220" i="10"/>
  <c r="S220" i="10"/>
  <c r="T220" i="10"/>
  <c r="U220" i="10"/>
  <c r="V220" i="10"/>
  <c r="W220" i="10"/>
  <c r="X220" i="10"/>
  <c r="Y220" i="10"/>
  <c r="P221" i="10"/>
  <c r="Q221" i="10"/>
  <c r="R221" i="10"/>
  <c r="S221" i="10"/>
  <c r="T221" i="10"/>
  <c r="U221" i="10"/>
  <c r="V221" i="10"/>
  <c r="W221" i="10"/>
  <c r="X221" i="10"/>
  <c r="Y221" i="10"/>
  <c r="P222" i="10"/>
  <c r="Q222" i="10"/>
  <c r="R222" i="10"/>
  <c r="S222" i="10"/>
  <c r="T222" i="10"/>
  <c r="U222" i="10"/>
  <c r="V222" i="10"/>
  <c r="W222" i="10"/>
  <c r="X222" i="10"/>
  <c r="Y222" i="10"/>
  <c r="P223" i="10"/>
  <c r="Q223" i="10"/>
  <c r="R223" i="10"/>
  <c r="S223" i="10"/>
  <c r="T223" i="10"/>
  <c r="U223" i="10"/>
  <c r="V223" i="10"/>
  <c r="W223" i="10"/>
  <c r="X223" i="10"/>
  <c r="Y223" i="10"/>
  <c r="P224" i="10"/>
  <c r="Q224" i="10"/>
  <c r="R224" i="10"/>
  <c r="S224" i="10"/>
  <c r="T224" i="10"/>
  <c r="U224" i="10"/>
  <c r="V224" i="10"/>
  <c r="W224" i="10"/>
  <c r="X224" i="10"/>
  <c r="Y224" i="10"/>
  <c r="P225" i="10"/>
  <c r="Q225" i="10"/>
  <c r="R225" i="10"/>
  <c r="S225" i="10"/>
  <c r="T225" i="10"/>
  <c r="U225" i="10"/>
  <c r="V225" i="10"/>
  <c r="W225" i="10"/>
  <c r="X225" i="10"/>
  <c r="Y225" i="10"/>
  <c r="P226" i="10"/>
  <c r="Q226" i="10"/>
  <c r="R226" i="10"/>
  <c r="S226" i="10"/>
  <c r="T226" i="10"/>
  <c r="U226" i="10"/>
  <c r="V226" i="10"/>
  <c r="W226" i="10"/>
  <c r="X226" i="10"/>
  <c r="Y226" i="10"/>
  <c r="P227" i="10"/>
  <c r="Q227" i="10"/>
  <c r="R227" i="10"/>
  <c r="S227" i="10"/>
  <c r="T227" i="10"/>
  <c r="U227" i="10"/>
  <c r="V227" i="10"/>
  <c r="W227" i="10"/>
  <c r="X227" i="10"/>
  <c r="Y227" i="10"/>
  <c r="P228" i="10"/>
  <c r="Q228" i="10"/>
  <c r="R228" i="10"/>
  <c r="S228" i="10"/>
  <c r="T228" i="10"/>
  <c r="U228" i="10"/>
  <c r="V228" i="10"/>
  <c r="W228" i="10"/>
  <c r="X228" i="10"/>
  <c r="Y228" i="10"/>
  <c r="P229" i="10"/>
  <c r="Q229" i="10"/>
  <c r="R229" i="10"/>
  <c r="S229" i="10"/>
  <c r="T229" i="10"/>
  <c r="U229" i="10"/>
  <c r="V229" i="10"/>
  <c r="W229" i="10"/>
  <c r="X229" i="10"/>
  <c r="Y229" i="10"/>
  <c r="P230" i="10"/>
  <c r="Q230" i="10"/>
  <c r="R230" i="10"/>
  <c r="S230" i="10"/>
  <c r="T230" i="10"/>
  <c r="U230" i="10"/>
  <c r="V230" i="10"/>
  <c r="W230" i="10"/>
  <c r="X230" i="10"/>
  <c r="Y230" i="10"/>
  <c r="P231" i="10"/>
  <c r="Q231" i="10"/>
  <c r="R231" i="10"/>
  <c r="S231" i="10"/>
  <c r="T231" i="10"/>
  <c r="U231" i="10"/>
  <c r="V231" i="10"/>
  <c r="W231" i="10"/>
  <c r="X231" i="10"/>
  <c r="Y231" i="10"/>
  <c r="P232" i="10"/>
  <c r="Q232" i="10"/>
  <c r="R232" i="10"/>
  <c r="S232" i="10"/>
  <c r="T232" i="10"/>
  <c r="U232" i="10"/>
  <c r="V232" i="10"/>
  <c r="W232" i="10"/>
  <c r="X232" i="10"/>
  <c r="Y232" i="10"/>
  <c r="P233" i="10"/>
  <c r="Q233" i="10"/>
  <c r="R233" i="10"/>
  <c r="S233" i="10"/>
  <c r="T233" i="10"/>
  <c r="U233" i="10"/>
  <c r="V233" i="10"/>
  <c r="W233" i="10"/>
  <c r="X233" i="10"/>
  <c r="Y233" i="10"/>
  <c r="P234" i="10"/>
  <c r="Q234" i="10"/>
  <c r="R234" i="10"/>
  <c r="S234" i="10"/>
  <c r="T234" i="10"/>
  <c r="U234" i="10"/>
  <c r="V234" i="10"/>
  <c r="W234" i="10"/>
  <c r="X234" i="10"/>
  <c r="Y234" i="10"/>
  <c r="P235" i="10"/>
  <c r="Q235" i="10"/>
  <c r="R235" i="10"/>
  <c r="S235" i="10"/>
  <c r="T235" i="10"/>
  <c r="U235" i="10"/>
  <c r="V235" i="10"/>
  <c r="W235" i="10"/>
  <c r="X235" i="10"/>
  <c r="Y235" i="10"/>
  <c r="P236" i="10"/>
  <c r="Q236" i="10"/>
  <c r="R236" i="10"/>
  <c r="S236" i="10"/>
  <c r="T236" i="10"/>
  <c r="U236" i="10"/>
  <c r="V236" i="10"/>
  <c r="W236" i="10"/>
  <c r="X236" i="10"/>
  <c r="Y236" i="10"/>
  <c r="P237" i="10"/>
  <c r="Q237" i="10"/>
  <c r="R237" i="10"/>
  <c r="S237" i="10"/>
  <c r="T237" i="10"/>
  <c r="U237" i="10"/>
  <c r="V237" i="10"/>
  <c r="W237" i="10"/>
  <c r="X237" i="10"/>
  <c r="Y237" i="10"/>
  <c r="P238" i="10"/>
  <c r="Q238" i="10"/>
  <c r="R238" i="10"/>
  <c r="S238" i="10"/>
  <c r="T238" i="10"/>
  <c r="U238" i="10"/>
  <c r="V238" i="10"/>
  <c r="W238" i="10"/>
  <c r="X238" i="10"/>
  <c r="Y238" i="10"/>
  <c r="P239" i="10"/>
  <c r="Q239" i="10"/>
  <c r="R239" i="10"/>
  <c r="S239" i="10"/>
  <c r="T239" i="10"/>
  <c r="U239" i="10"/>
  <c r="V239" i="10"/>
  <c r="W239" i="10"/>
  <c r="X239" i="10"/>
  <c r="Y239" i="10"/>
  <c r="P240" i="10"/>
  <c r="Q240" i="10"/>
  <c r="R240" i="10"/>
  <c r="S240" i="10"/>
  <c r="T240" i="10"/>
  <c r="U240" i="10"/>
  <c r="V240" i="10"/>
  <c r="W240" i="10"/>
  <c r="X240" i="10"/>
  <c r="Y240" i="10"/>
  <c r="P241" i="10"/>
  <c r="Q241" i="10"/>
  <c r="R241" i="10"/>
  <c r="S241" i="10"/>
  <c r="T241" i="10"/>
  <c r="U241" i="10"/>
  <c r="V241" i="10"/>
  <c r="W241" i="10"/>
  <c r="X241" i="10"/>
  <c r="Y241" i="10"/>
  <c r="P242" i="10"/>
  <c r="Q242" i="10"/>
  <c r="R242" i="10"/>
  <c r="S242" i="10"/>
  <c r="T242" i="10"/>
  <c r="U242" i="10"/>
  <c r="V242" i="10"/>
  <c r="W242" i="10"/>
  <c r="X242" i="10"/>
  <c r="Y242" i="10"/>
  <c r="P243" i="10"/>
  <c r="Q243" i="10"/>
  <c r="R243" i="10"/>
  <c r="S243" i="10"/>
  <c r="T243" i="10"/>
  <c r="U243" i="10"/>
  <c r="V243" i="10"/>
  <c r="W243" i="10"/>
  <c r="X243" i="10"/>
  <c r="Y243" i="10"/>
  <c r="P244" i="10"/>
  <c r="Q244" i="10"/>
  <c r="R244" i="10"/>
  <c r="S244" i="10"/>
  <c r="T244" i="10"/>
  <c r="U244" i="10"/>
  <c r="V244" i="10"/>
  <c r="W244" i="10"/>
  <c r="X244" i="10"/>
  <c r="Y244" i="10"/>
  <c r="P245" i="10"/>
  <c r="Q245" i="10"/>
  <c r="R245" i="10"/>
  <c r="S245" i="10"/>
  <c r="T245" i="10"/>
  <c r="U245" i="10"/>
  <c r="V245" i="10"/>
  <c r="W245" i="10"/>
  <c r="X245" i="10"/>
  <c r="Y245" i="10"/>
  <c r="P246" i="10"/>
  <c r="Q246" i="10"/>
  <c r="R246" i="10"/>
  <c r="S246" i="10"/>
  <c r="T246" i="10"/>
  <c r="U246" i="10"/>
  <c r="V246" i="10"/>
  <c r="W246" i="10"/>
  <c r="X246" i="10"/>
  <c r="Y246" i="10"/>
  <c r="P247" i="10"/>
  <c r="Q247" i="10"/>
  <c r="R247" i="10"/>
  <c r="S247" i="10"/>
  <c r="T247" i="10"/>
  <c r="U247" i="10"/>
  <c r="V247" i="10"/>
  <c r="W247" i="10"/>
  <c r="X247" i="10"/>
  <c r="Y247" i="10"/>
  <c r="P248" i="10"/>
  <c r="Q248" i="10"/>
  <c r="R248" i="10"/>
  <c r="S248" i="10"/>
  <c r="T248" i="10"/>
  <c r="U248" i="10"/>
  <c r="V248" i="10"/>
  <c r="W248" i="10"/>
  <c r="X248" i="10"/>
  <c r="Y248" i="10"/>
  <c r="P249" i="10"/>
  <c r="Q249" i="10"/>
  <c r="R249" i="10"/>
  <c r="S249" i="10"/>
  <c r="T249" i="10"/>
  <c r="U249" i="10"/>
  <c r="V249" i="10"/>
  <c r="W249" i="10"/>
  <c r="X249" i="10"/>
  <c r="Y249" i="10"/>
  <c r="P250" i="10"/>
  <c r="Q250" i="10"/>
  <c r="R250" i="10"/>
  <c r="S250" i="10"/>
  <c r="T250" i="10"/>
  <c r="U250" i="10"/>
  <c r="V250" i="10"/>
  <c r="W250" i="10"/>
  <c r="X250" i="10"/>
  <c r="Y250" i="10"/>
  <c r="P251" i="10"/>
  <c r="Q251" i="10"/>
  <c r="R251" i="10"/>
  <c r="S251" i="10"/>
  <c r="T251" i="10"/>
  <c r="U251" i="10"/>
  <c r="V251" i="10"/>
  <c r="W251" i="10"/>
  <c r="X251" i="10"/>
  <c r="Y251" i="10"/>
  <c r="P252" i="10"/>
  <c r="Q252" i="10"/>
  <c r="R252" i="10"/>
  <c r="S252" i="10"/>
  <c r="T252" i="10"/>
  <c r="U252" i="10"/>
  <c r="V252" i="10"/>
  <c r="W252" i="10"/>
  <c r="X252" i="10"/>
  <c r="Y252" i="10"/>
  <c r="P253" i="10"/>
  <c r="Q253" i="10"/>
  <c r="R253" i="10"/>
  <c r="S253" i="10"/>
  <c r="T253" i="10"/>
  <c r="U253" i="10"/>
  <c r="V253" i="10"/>
  <c r="W253" i="10"/>
  <c r="X253" i="10"/>
  <c r="Y253" i="10"/>
  <c r="P254" i="10"/>
  <c r="Q254" i="10"/>
  <c r="R254" i="10"/>
  <c r="S254" i="10"/>
  <c r="T254" i="10"/>
  <c r="U254" i="10"/>
  <c r="V254" i="10"/>
  <c r="W254" i="10"/>
  <c r="X254" i="10"/>
  <c r="Y254" i="10"/>
  <c r="P255" i="10"/>
  <c r="Q255" i="10"/>
  <c r="R255" i="10"/>
  <c r="S255" i="10"/>
  <c r="T255" i="10"/>
  <c r="U255" i="10"/>
  <c r="V255" i="10"/>
  <c r="W255" i="10"/>
  <c r="X255" i="10"/>
  <c r="Y255" i="10"/>
  <c r="Y4" i="10"/>
  <c r="X4" i="10"/>
  <c r="W4" i="10"/>
  <c r="V4" i="10"/>
  <c r="U4" i="10"/>
  <c r="T4" i="10"/>
  <c r="S4" i="10"/>
  <c r="R4" i="10"/>
  <c r="Q4" i="10"/>
  <c r="P4" i="10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J7" i="11" a="1"/>
  <c r="H6" i="9" a="1"/>
  <c r="H4" i="9" a="1"/>
  <c r="J6" i="11" a="1"/>
  <c r="H5" i="9" a="1"/>
  <c r="H7" i="9" a="1"/>
  <c r="J3" i="11" a="1"/>
  <c r="H9" i="9" a="1"/>
  <c r="J4" i="11" a="1"/>
  <c r="H3" i="9" a="1"/>
  <c r="J2" i="11" a="1"/>
  <c r="J5" i="11" a="1"/>
  <c r="H2" i="9" a="1"/>
  <c r="J9" i="11" a="1"/>
  <c r="J8" i="11" a="1"/>
  <c r="H8" i="9" a="1"/>
  <c r="J2" i="11" l="1"/>
  <c r="J7" i="11"/>
  <c r="L7" i="11" s="1"/>
  <c r="J8" i="11"/>
  <c r="L8" i="11" s="1"/>
  <c r="J9" i="11"/>
  <c r="L9" i="11" s="1"/>
  <c r="J6" i="11"/>
  <c r="L6" i="11" s="1"/>
  <c r="J5" i="11"/>
  <c r="L5" i="11" s="1"/>
  <c r="J4" i="11"/>
  <c r="L4" i="11" s="1"/>
  <c r="J3" i="11"/>
  <c r="L3" i="11" s="1"/>
  <c r="H7" i="9"/>
  <c r="H8" i="9"/>
  <c r="H9" i="9"/>
  <c r="H6" i="9"/>
  <c r="H3" i="9"/>
  <c r="H4" i="9"/>
  <c r="H5" i="9"/>
  <c r="H2" i="9"/>
  <c r="E6" i="9"/>
  <c r="E2" i="9"/>
  <c r="E3" i="9"/>
  <c r="E4" i="9"/>
  <c r="E5" i="9"/>
  <c r="H2" i="11" l="1"/>
  <c r="J2" i="9"/>
  <c r="H5" i="11"/>
  <c r="J5" i="9"/>
  <c r="J4" i="9"/>
  <c r="H4" i="11"/>
  <c r="H3" i="11"/>
  <c r="J3" i="9"/>
  <c r="H6" i="11"/>
  <c r="J6" i="9"/>
  <c r="H9" i="11"/>
  <c r="J9" i="9"/>
  <c r="J8" i="9"/>
  <c r="H8" i="11"/>
  <c r="H7" i="11"/>
  <c r="J7" i="9"/>
  <c r="L2" i="11"/>
  <c r="O2" i="11"/>
  <c r="E9" i="9"/>
  <c r="E8" i="9"/>
  <c r="E7" i="9"/>
  <c r="C8" i="3" l="1"/>
  <c r="C7" i="3"/>
  <c r="C4" i="3"/>
  <c r="J15" i="3" l="1"/>
  <c r="D256" i="10" l="1"/>
  <c r="C256" i="10"/>
  <c r="D255" i="10"/>
  <c r="C255" i="10"/>
  <c r="D254" i="10"/>
  <c r="C254" i="10"/>
  <c r="D253" i="10"/>
  <c r="C253" i="10"/>
  <c r="D252" i="10"/>
  <c r="C252" i="10"/>
  <c r="D251" i="10"/>
  <c r="C251" i="10"/>
  <c r="D250" i="10"/>
  <c r="C250" i="10"/>
  <c r="D249" i="10"/>
  <c r="C249" i="10"/>
  <c r="D248" i="10"/>
  <c r="C248" i="10"/>
  <c r="D247" i="10"/>
  <c r="C247" i="10"/>
  <c r="D246" i="10"/>
  <c r="C246" i="10"/>
  <c r="D245" i="10"/>
  <c r="C245" i="10"/>
  <c r="D244" i="10"/>
  <c r="C244" i="10"/>
  <c r="D243" i="10"/>
  <c r="C243" i="10"/>
  <c r="D242" i="10"/>
  <c r="C242" i="10"/>
  <c r="D241" i="10"/>
  <c r="C241" i="10"/>
  <c r="D240" i="10"/>
  <c r="C240" i="10"/>
  <c r="D239" i="10"/>
  <c r="C239" i="10"/>
  <c r="D238" i="10"/>
  <c r="C238" i="10"/>
  <c r="D237" i="10"/>
  <c r="C237" i="10"/>
  <c r="D236" i="10"/>
  <c r="C236" i="10"/>
  <c r="D235" i="10"/>
  <c r="C235" i="10"/>
  <c r="D234" i="10"/>
  <c r="C234" i="10"/>
  <c r="D233" i="10"/>
  <c r="C233" i="10"/>
  <c r="D232" i="10"/>
  <c r="C232" i="10"/>
  <c r="D231" i="10"/>
  <c r="C231" i="10"/>
  <c r="D230" i="10"/>
  <c r="C230" i="10"/>
  <c r="D229" i="10"/>
  <c r="C229" i="10"/>
  <c r="D228" i="10"/>
  <c r="C228" i="10"/>
  <c r="D227" i="10"/>
  <c r="C227" i="10"/>
  <c r="D226" i="10"/>
  <c r="C226" i="10"/>
  <c r="D225" i="10"/>
  <c r="C225" i="10"/>
  <c r="D224" i="10"/>
  <c r="C224" i="10"/>
  <c r="D223" i="10"/>
  <c r="C223" i="10"/>
  <c r="D222" i="10"/>
  <c r="C222" i="10"/>
  <c r="D221" i="10"/>
  <c r="C221" i="10"/>
  <c r="D220" i="10"/>
  <c r="C220" i="10"/>
  <c r="D219" i="10"/>
  <c r="C219" i="10"/>
  <c r="D218" i="10"/>
  <c r="C218" i="10"/>
  <c r="D217" i="10"/>
  <c r="C217" i="10"/>
  <c r="D216" i="10"/>
  <c r="C216" i="10"/>
  <c r="D215" i="10"/>
  <c r="C215" i="10"/>
  <c r="D214" i="10"/>
  <c r="C214" i="10"/>
  <c r="D213" i="10"/>
  <c r="C213" i="10"/>
  <c r="D212" i="10"/>
  <c r="C212" i="10"/>
  <c r="D211" i="10"/>
  <c r="C211" i="10"/>
  <c r="D210" i="10"/>
  <c r="C210" i="10"/>
  <c r="D209" i="10"/>
  <c r="C209" i="10"/>
  <c r="D208" i="10"/>
  <c r="C208" i="10"/>
  <c r="D207" i="10"/>
  <c r="C207" i="10"/>
  <c r="D206" i="10"/>
  <c r="C206" i="10"/>
  <c r="D205" i="10"/>
  <c r="C205" i="10"/>
  <c r="D204" i="10"/>
  <c r="C204" i="10"/>
  <c r="D203" i="10"/>
  <c r="C203" i="10"/>
  <c r="D202" i="10"/>
  <c r="C202" i="10"/>
  <c r="D201" i="10"/>
  <c r="C201" i="10"/>
  <c r="D200" i="10"/>
  <c r="C200" i="10"/>
  <c r="D199" i="10"/>
  <c r="C199" i="10"/>
  <c r="D198" i="10"/>
  <c r="C198" i="10"/>
  <c r="D197" i="10"/>
  <c r="C197" i="10"/>
  <c r="D196" i="10"/>
  <c r="C196" i="10"/>
  <c r="D195" i="10"/>
  <c r="C195" i="10"/>
  <c r="D194" i="10"/>
  <c r="C194" i="10"/>
  <c r="D193" i="10"/>
  <c r="C193" i="10"/>
  <c r="D192" i="10"/>
  <c r="C192" i="10"/>
  <c r="D191" i="10"/>
  <c r="C191" i="10"/>
  <c r="D190" i="10"/>
  <c r="C190" i="10"/>
  <c r="D189" i="10"/>
  <c r="C189" i="10"/>
  <c r="D188" i="10"/>
  <c r="C188" i="10"/>
  <c r="D187" i="10"/>
  <c r="C187" i="10"/>
  <c r="D186" i="10"/>
  <c r="C186" i="10"/>
  <c r="D185" i="10"/>
  <c r="C185" i="10"/>
  <c r="D184" i="10"/>
  <c r="C184" i="10"/>
  <c r="D183" i="10"/>
  <c r="C183" i="10"/>
  <c r="D182" i="10"/>
  <c r="C182" i="10"/>
  <c r="D181" i="10"/>
  <c r="C181" i="10"/>
  <c r="D180" i="10"/>
  <c r="C180" i="10"/>
  <c r="D179" i="10"/>
  <c r="C179" i="10"/>
  <c r="D178" i="10"/>
  <c r="C178" i="10"/>
  <c r="D177" i="10"/>
  <c r="C177" i="10"/>
  <c r="D176" i="10"/>
  <c r="C176" i="10"/>
  <c r="D175" i="10"/>
  <c r="C175" i="10"/>
  <c r="D174" i="10"/>
  <c r="C174" i="10"/>
  <c r="D173" i="10"/>
  <c r="C173" i="10"/>
  <c r="D172" i="10"/>
  <c r="C172" i="10"/>
  <c r="D171" i="10"/>
  <c r="C171" i="10"/>
  <c r="D170" i="10"/>
  <c r="C170" i="10"/>
  <c r="D169" i="10"/>
  <c r="C169" i="10"/>
  <c r="D168" i="10"/>
  <c r="C168" i="10"/>
  <c r="D167" i="10"/>
  <c r="C167" i="10"/>
  <c r="D166" i="10"/>
  <c r="C166" i="10"/>
  <c r="D165" i="10"/>
  <c r="C165" i="10"/>
  <c r="D164" i="10"/>
  <c r="C164" i="10"/>
  <c r="D163" i="10"/>
  <c r="C163" i="10"/>
  <c r="D162" i="10"/>
  <c r="C162" i="10"/>
  <c r="D161" i="10"/>
  <c r="C161" i="10"/>
  <c r="D160" i="10"/>
  <c r="C160" i="10"/>
  <c r="D159" i="10"/>
  <c r="C159" i="10"/>
  <c r="D158" i="10"/>
  <c r="C158" i="10"/>
  <c r="D157" i="10"/>
  <c r="C157" i="10"/>
  <c r="D156" i="10"/>
  <c r="C156" i="10"/>
  <c r="D155" i="10"/>
  <c r="C155" i="10"/>
  <c r="D154" i="10"/>
  <c r="C154" i="10"/>
  <c r="D153" i="10"/>
  <c r="C153" i="10"/>
  <c r="D152" i="10"/>
  <c r="C152" i="10"/>
  <c r="D151" i="10"/>
  <c r="C151" i="10"/>
  <c r="D150" i="10"/>
  <c r="C150" i="10"/>
  <c r="D149" i="10"/>
  <c r="C149" i="10"/>
  <c r="D148" i="10"/>
  <c r="C148" i="10"/>
  <c r="D147" i="10"/>
  <c r="C147" i="10"/>
  <c r="D146" i="10"/>
  <c r="C146" i="10"/>
  <c r="D145" i="10"/>
  <c r="C145" i="10"/>
  <c r="D144" i="10"/>
  <c r="C144" i="10"/>
  <c r="D143" i="10"/>
  <c r="C143" i="10"/>
  <c r="D142" i="10"/>
  <c r="C142" i="10"/>
  <c r="D141" i="10"/>
  <c r="C141" i="10"/>
  <c r="D140" i="10"/>
  <c r="C140" i="10"/>
  <c r="D139" i="10"/>
  <c r="C139" i="10"/>
  <c r="D138" i="10"/>
  <c r="C138" i="10"/>
  <c r="D137" i="10"/>
  <c r="C137" i="10"/>
  <c r="D136" i="10"/>
  <c r="C136" i="10"/>
  <c r="D135" i="10"/>
  <c r="C135" i="10"/>
  <c r="D134" i="10"/>
  <c r="C134" i="10"/>
  <c r="D133" i="10"/>
  <c r="C133" i="10"/>
  <c r="D132" i="10"/>
  <c r="C132" i="10"/>
  <c r="D131" i="10"/>
  <c r="C131" i="10"/>
  <c r="D130" i="10"/>
  <c r="C130" i="10"/>
  <c r="D129" i="10"/>
  <c r="C129" i="10"/>
  <c r="D128" i="10"/>
  <c r="C128" i="10"/>
  <c r="D127" i="10"/>
  <c r="C127" i="10"/>
  <c r="D126" i="10"/>
  <c r="C126" i="10"/>
  <c r="D125" i="10"/>
  <c r="C125" i="10"/>
  <c r="D124" i="10"/>
  <c r="C124" i="10"/>
  <c r="D123" i="10"/>
  <c r="C123" i="10"/>
  <c r="D122" i="10"/>
  <c r="C122" i="10"/>
  <c r="D121" i="10"/>
  <c r="C121" i="10"/>
  <c r="D120" i="10"/>
  <c r="C120" i="10"/>
  <c r="D119" i="10"/>
  <c r="C119" i="10"/>
  <c r="D118" i="10"/>
  <c r="C118" i="10"/>
  <c r="D117" i="10"/>
  <c r="C117" i="10"/>
  <c r="D116" i="10"/>
  <c r="C116" i="10"/>
  <c r="D115" i="10"/>
  <c r="C115" i="10"/>
  <c r="D114" i="10"/>
  <c r="C114" i="10"/>
  <c r="D113" i="10"/>
  <c r="C113" i="10"/>
  <c r="D112" i="10"/>
  <c r="C112" i="10"/>
  <c r="D111" i="10"/>
  <c r="C111" i="10"/>
  <c r="D110" i="10"/>
  <c r="C110" i="10"/>
  <c r="D109" i="10"/>
  <c r="C109" i="10"/>
  <c r="D108" i="10"/>
  <c r="C108" i="10"/>
  <c r="D107" i="10"/>
  <c r="C107" i="10"/>
  <c r="D106" i="10"/>
  <c r="C106" i="10"/>
  <c r="D105" i="10"/>
  <c r="C105" i="10"/>
  <c r="D104" i="10"/>
  <c r="C104" i="10"/>
  <c r="D103" i="10"/>
  <c r="C103" i="10"/>
  <c r="D102" i="10"/>
  <c r="C102" i="10"/>
  <c r="D101" i="10"/>
  <c r="C101" i="10"/>
  <c r="D100" i="10"/>
  <c r="C100" i="10"/>
  <c r="D99" i="10"/>
  <c r="C99" i="10"/>
  <c r="D98" i="10"/>
  <c r="C98" i="10"/>
  <c r="D97" i="10"/>
  <c r="C97" i="10"/>
  <c r="D96" i="10"/>
  <c r="C96" i="10"/>
  <c r="D95" i="10"/>
  <c r="C95" i="10"/>
  <c r="D94" i="10"/>
  <c r="C94" i="10"/>
  <c r="D93" i="10"/>
  <c r="C93" i="10"/>
  <c r="D92" i="10"/>
  <c r="C92" i="10"/>
  <c r="D91" i="10"/>
  <c r="C91" i="10"/>
  <c r="D90" i="10"/>
  <c r="C90" i="10"/>
  <c r="D89" i="10"/>
  <c r="C89" i="10"/>
  <c r="D88" i="10"/>
  <c r="C88" i="10"/>
  <c r="D87" i="10"/>
  <c r="C87" i="10"/>
  <c r="D86" i="10"/>
  <c r="C86" i="10"/>
  <c r="D85" i="10"/>
  <c r="C85" i="10"/>
  <c r="D84" i="10"/>
  <c r="C84" i="10"/>
  <c r="D83" i="10"/>
  <c r="C83" i="10"/>
  <c r="D82" i="10"/>
  <c r="C82" i="10"/>
  <c r="D81" i="10"/>
  <c r="C81" i="10"/>
  <c r="D80" i="10"/>
  <c r="C80" i="10"/>
  <c r="D79" i="10"/>
  <c r="C79" i="10"/>
  <c r="D78" i="10"/>
  <c r="C78" i="10"/>
  <c r="D77" i="10"/>
  <c r="C77" i="10"/>
  <c r="D76" i="10"/>
  <c r="C76" i="10"/>
  <c r="D75" i="10"/>
  <c r="C75" i="10"/>
  <c r="D74" i="10"/>
  <c r="C74" i="10"/>
  <c r="D73" i="10"/>
  <c r="C73" i="10"/>
  <c r="D72" i="10"/>
  <c r="C72" i="10"/>
  <c r="D71" i="10"/>
  <c r="C71" i="10"/>
  <c r="D70" i="10"/>
  <c r="C70" i="10"/>
  <c r="D69" i="10"/>
  <c r="C69" i="10"/>
  <c r="D68" i="10"/>
  <c r="C68" i="10"/>
  <c r="D67" i="10"/>
  <c r="C67" i="10"/>
  <c r="D66" i="10"/>
  <c r="C66" i="10"/>
  <c r="D65" i="10"/>
  <c r="C65" i="10"/>
  <c r="D64" i="10"/>
  <c r="C64" i="10"/>
  <c r="D63" i="10"/>
  <c r="C63" i="10"/>
  <c r="D62" i="10"/>
  <c r="C62" i="10"/>
  <c r="D61" i="10"/>
  <c r="C61" i="10"/>
  <c r="D60" i="10"/>
  <c r="C60" i="10"/>
  <c r="D59" i="10"/>
  <c r="C59" i="10"/>
  <c r="D58" i="10"/>
  <c r="C58" i="10"/>
  <c r="D57" i="10"/>
  <c r="C57" i="10"/>
  <c r="D56" i="10"/>
  <c r="C56" i="10"/>
  <c r="D55" i="10"/>
  <c r="C55" i="10"/>
  <c r="D54" i="10"/>
  <c r="C54" i="10"/>
  <c r="D53" i="10"/>
  <c r="C53" i="10"/>
  <c r="D52" i="10"/>
  <c r="C52" i="10"/>
  <c r="D51" i="10"/>
  <c r="C51" i="10"/>
  <c r="D50" i="10"/>
  <c r="C50" i="10"/>
  <c r="D49" i="10"/>
  <c r="C49" i="10"/>
  <c r="D48" i="10"/>
  <c r="C48" i="10"/>
  <c r="D47" i="10"/>
  <c r="C47" i="10"/>
  <c r="D46" i="10"/>
  <c r="C46" i="10"/>
  <c r="D45" i="10"/>
  <c r="C45" i="10"/>
  <c r="D44" i="10"/>
  <c r="C44" i="10"/>
  <c r="D43" i="10"/>
  <c r="C43" i="10"/>
  <c r="D42" i="10"/>
  <c r="C42" i="10"/>
  <c r="D41" i="10"/>
  <c r="C41" i="10"/>
  <c r="D40" i="10"/>
  <c r="C40" i="10"/>
  <c r="D39" i="10"/>
  <c r="C39" i="10"/>
  <c r="D38" i="10"/>
  <c r="C38" i="10"/>
  <c r="D37" i="10"/>
  <c r="C37" i="10"/>
  <c r="D36" i="10"/>
  <c r="C36" i="10"/>
  <c r="D35" i="10"/>
  <c r="C35" i="10"/>
  <c r="D34" i="10"/>
  <c r="C34" i="10"/>
  <c r="D33" i="10"/>
  <c r="C33" i="10"/>
  <c r="D32" i="10"/>
  <c r="C32" i="10"/>
  <c r="D31" i="10"/>
  <c r="C31" i="10"/>
  <c r="D30" i="10"/>
  <c r="C30" i="10"/>
  <c r="D29" i="10"/>
  <c r="C29" i="10"/>
  <c r="D28" i="10"/>
  <c r="C28" i="10"/>
  <c r="D27" i="10"/>
  <c r="C27" i="10"/>
  <c r="D26" i="10"/>
  <c r="C26" i="10"/>
  <c r="D25" i="10"/>
  <c r="C25" i="10"/>
  <c r="D24" i="10"/>
  <c r="C24" i="10"/>
  <c r="D23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D4" i="10"/>
  <c r="C4" i="10"/>
  <c r="E9" i="11"/>
  <c r="E8" i="11"/>
  <c r="E7" i="11"/>
  <c r="E6" i="11"/>
  <c r="E5" i="11"/>
  <c r="E4" i="11"/>
  <c r="E3" i="11"/>
  <c r="E2" i="11"/>
  <c r="J8" i="3" l="1"/>
  <c r="J7" i="3"/>
  <c r="J4" i="3"/>
  <c r="J16" i="3"/>
  <c r="L15" i="3" s="1"/>
  <c r="J17" i="3"/>
  <c r="J18" i="3"/>
  <c r="J19" i="3"/>
  <c r="J20" i="3"/>
  <c r="J21" i="3"/>
  <c r="J22" i="3"/>
  <c r="L21" i="3" s="1"/>
  <c r="J23" i="3"/>
  <c r="L22" i="3" s="1"/>
  <c r="J24" i="3"/>
  <c r="L23" i="3" s="1"/>
  <c r="J25" i="3"/>
  <c r="L24" i="3" s="1"/>
  <c r="J26" i="3"/>
  <c r="L25" i="3" s="1"/>
  <c r="J27" i="3"/>
  <c r="J28" i="3"/>
  <c r="L27" i="3" s="1"/>
  <c r="J29" i="3"/>
  <c r="L28" i="3" s="1"/>
  <c r="J30" i="3"/>
  <c r="L29" i="3" s="1"/>
  <c r="J31" i="3"/>
  <c r="L30" i="3" s="1"/>
  <c r="J32" i="3"/>
  <c r="L31" i="3" s="1"/>
  <c r="J33" i="3"/>
  <c r="J34" i="3"/>
  <c r="J35" i="3"/>
  <c r="J36" i="3"/>
  <c r="L35" i="3" s="1"/>
  <c r="K36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Y3" i="10"/>
  <c r="X3" i="10"/>
  <c r="W3" i="10"/>
  <c r="V3" i="10"/>
  <c r="P3" i="10"/>
  <c r="Q3" i="10"/>
  <c r="U3" i="10"/>
  <c r="T3" i="10"/>
  <c r="S3" i="10"/>
  <c r="R3" i="10"/>
  <c r="L19" i="3" l="1"/>
  <c r="L33" i="3"/>
  <c r="L17" i="3"/>
  <c r="L32" i="3"/>
  <c r="L16" i="3"/>
  <c r="L20" i="3"/>
  <c r="L34" i="3"/>
  <c r="L26" i="3"/>
  <c r="L18" i="3"/>
  <c r="L36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L18" i="11" l="1"/>
  <c r="O6" i="11" l="1"/>
  <c r="J18" i="9"/>
  <c r="L20" i="11" s="1"/>
  <c r="L23" i="11" s="1"/>
  <c r="A255" i="10" l="1"/>
  <c r="A254" i="10" s="1"/>
  <c r="A253" i="10" s="1"/>
  <c r="A252" i="10" s="1"/>
  <c r="A251" i="10" s="1"/>
  <c r="A250" i="10" s="1"/>
  <c r="A249" i="10" s="1"/>
  <c r="A248" i="10" s="1"/>
  <c r="A247" i="10" s="1"/>
  <c r="A246" i="10" s="1"/>
  <c r="A245" i="10" s="1"/>
  <c r="A244" i="10" s="1"/>
  <c r="A243" i="10" s="1"/>
  <c r="A242" i="10" s="1"/>
  <c r="A241" i="10" s="1"/>
  <c r="A240" i="10" s="1"/>
  <c r="A239" i="10" s="1"/>
  <c r="A238" i="10" s="1"/>
  <c r="A237" i="10" s="1"/>
  <c r="A236" i="10" s="1"/>
  <c r="A235" i="10" s="1"/>
  <c r="A234" i="10" s="1"/>
  <c r="A233" i="10" s="1"/>
  <c r="A232" i="10" s="1"/>
  <c r="A231" i="10" s="1"/>
  <c r="A230" i="10" s="1"/>
  <c r="A229" i="10" s="1"/>
  <c r="A228" i="10" s="1"/>
  <c r="A227" i="10" s="1"/>
  <c r="A226" i="10" s="1"/>
  <c r="A225" i="10" s="1"/>
  <c r="A224" i="10" s="1"/>
  <c r="A223" i="10" s="1"/>
  <c r="A222" i="10" s="1"/>
  <c r="A221" i="10" s="1"/>
  <c r="A220" i="10" s="1"/>
  <c r="A219" i="10" s="1"/>
  <c r="A218" i="10" s="1"/>
  <c r="A217" i="10" s="1"/>
  <c r="A216" i="10" s="1"/>
  <c r="A215" i="10" s="1"/>
  <c r="A214" i="10" s="1"/>
  <c r="A213" i="10" s="1"/>
  <c r="A212" i="10" s="1"/>
  <c r="A211" i="10" s="1"/>
  <c r="A210" i="10" s="1"/>
  <c r="A209" i="10" s="1"/>
  <c r="A208" i="10" s="1"/>
  <c r="A207" i="10" s="1"/>
  <c r="A206" i="10" s="1"/>
  <c r="A205" i="10" s="1"/>
  <c r="A204" i="10" s="1"/>
  <c r="A203" i="10" s="1"/>
  <c r="A202" i="10" s="1"/>
  <c r="A201" i="10" s="1"/>
  <c r="A200" i="10" s="1"/>
  <c r="A199" i="10" s="1"/>
  <c r="A198" i="10" s="1"/>
  <c r="A197" i="10" s="1"/>
  <c r="A196" i="10" s="1"/>
  <c r="A195" i="10" s="1"/>
  <c r="A194" i="10" s="1"/>
  <c r="A193" i="10" s="1"/>
  <c r="A192" i="10" s="1"/>
  <c r="A191" i="10" s="1"/>
  <c r="A190" i="10" s="1"/>
  <c r="A189" i="10" s="1"/>
  <c r="A188" i="10" s="1"/>
  <c r="A187" i="10" s="1"/>
  <c r="A186" i="10" s="1"/>
  <c r="A185" i="10" s="1"/>
  <c r="A184" i="10" s="1"/>
  <c r="A183" i="10" s="1"/>
  <c r="A182" i="10" s="1"/>
  <c r="A181" i="10" s="1"/>
  <c r="A180" i="10" s="1"/>
  <c r="A179" i="10" s="1"/>
  <c r="A178" i="10" s="1"/>
  <c r="A177" i="10" s="1"/>
  <c r="A176" i="10" s="1"/>
  <c r="A175" i="10" s="1"/>
  <c r="A174" i="10" s="1"/>
  <c r="A173" i="10" s="1"/>
  <c r="A172" i="10" s="1"/>
  <c r="A171" i="10" s="1"/>
  <c r="A170" i="10" s="1"/>
  <c r="A169" i="10" s="1"/>
  <c r="A168" i="10" s="1"/>
  <c r="A167" i="10" s="1"/>
  <c r="A166" i="10" s="1"/>
  <c r="A165" i="10" s="1"/>
  <c r="A164" i="10" s="1"/>
  <c r="A163" i="10" s="1"/>
  <c r="A162" i="10" s="1"/>
  <c r="A161" i="10" s="1"/>
  <c r="A160" i="10" s="1"/>
  <c r="A159" i="10" s="1"/>
  <c r="A158" i="10" s="1"/>
  <c r="A157" i="10" s="1"/>
  <c r="A156" i="10" s="1"/>
  <c r="A155" i="10" s="1"/>
  <c r="A154" i="10" s="1"/>
  <c r="A153" i="10" s="1"/>
  <c r="A152" i="10" s="1"/>
  <c r="A151" i="10" s="1"/>
  <c r="A150" i="10" s="1"/>
  <c r="A149" i="10" s="1"/>
  <c r="A148" i="10" s="1"/>
  <c r="A147" i="10" s="1"/>
  <c r="A146" i="10" s="1"/>
  <c r="A145" i="10" s="1"/>
  <c r="A144" i="10" s="1"/>
  <c r="A143" i="10" s="1"/>
  <c r="A142" i="10" s="1"/>
  <c r="A141" i="10" s="1"/>
  <c r="A140" i="10" s="1"/>
  <c r="A139" i="10" s="1"/>
  <c r="A138" i="10" s="1"/>
  <c r="A137" i="10" s="1"/>
  <c r="A136" i="10" s="1"/>
  <c r="A135" i="10" s="1"/>
  <c r="A134" i="10" s="1"/>
  <c r="A133" i="10" s="1"/>
  <c r="A132" i="10" s="1"/>
  <c r="A131" i="10" s="1"/>
  <c r="A130" i="10" s="1"/>
  <c r="A129" i="10" s="1"/>
  <c r="A128" i="10" s="1"/>
  <c r="A127" i="10" s="1"/>
  <c r="A126" i="10" s="1"/>
  <c r="A125" i="10" s="1"/>
  <c r="A124" i="10" s="1"/>
  <c r="A123" i="10" s="1"/>
  <c r="A122" i="10" s="1"/>
  <c r="A121" i="10" s="1"/>
  <c r="A120" i="10" s="1"/>
  <c r="A119" i="10" s="1"/>
  <c r="A118" i="10" s="1"/>
  <c r="A117" i="10" s="1"/>
  <c r="A116" i="10" s="1"/>
  <c r="A115" i="10" s="1"/>
  <c r="A114" i="10" s="1"/>
  <c r="A113" i="10" s="1"/>
  <c r="A112" i="10" s="1"/>
  <c r="A111" i="10" s="1"/>
  <c r="A110" i="10" s="1"/>
  <c r="A109" i="10" s="1"/>
  <c r="A108" i="10" s="1"/>
  <c r="A107" i="10" s="1"/>
  <c r="A106" i="10" s="1"/>
  <c r="A105" i="10" s="1"/>
  <c r="A104" i="10" s="1"/>
  <c r="A103" i="10" s="1"/>
  <c r="A102" i="10" s="1"/>
  <c r="A101" i="10" s="1"/>
  <c r="A100" i="10" s="1"/>
  <c r="A99" i="10" s="1"/>
  <c r="A98" i="10" s="1"/>
  <c r="A97" i="10" s="1"/>
  <c r="A96" i="10" s="1"/>
  <c r="A95" i="10" s="1"/>
  <c r="A94" i="10" s="1"/>
  <c r="A93" i="10" s="1"/>
  <c r="A92" i="10" s="1"/>
  <c r="A91" i="10" s="1"/>
  <c r="A90" i="10" s="1"/>
  <c r="A89" i="10" s="1"/>
  <c r="A88" i="10" s="1"/>
  <c r="A87" i="10" s="1"/>
  <c r="A86" i="10" s="1"/>
  <c r="A85" i="10" s="1"/>
  <c r="A84" i="10" s="1"/>
  <c r="A83" i="10" s="1"/>
  <c r="A82" i="10" s="1"/>
  <c r="A81" i="10" s="1"/>
  <c r="A80" i="10" s="1"/>
  <c r="A79" i="10" s="1"/>
  <c r="A78" i="10" s="1"/>
  <c r="A77" i="10" s="1"/>
  <c r="A76" i="10" s="1"/>
  <c r="A75" i="10" s="1"/>
  <c r="A74" i="10" s="1"/>
  <c r="A73" i="10" s="1"/>
  <c r="A72" i="10" s="1"/>
  <c r="A71" i="10" s="1"/>
  <c r="A70" i="10" s="1"/>
  <c r="A69" i="10" s="1"/>
  <c r="A68" i="10" s="1"/>
  <c r="A67" i="10" s="1"/>
  <c r="A66" i="10" s="1"/>
  <c r="A65" i="10" s="1"/>
  <c r="A64" i="10" s="1"/>
  <c r="A63" i="10" s="1"/>
  <c r="A62" i="10" s="1"/>
  <c r="A61" i="10" s="1"/>
  <c r="A60" i="10" s="1"/>
  <c r="A59" i="10" s="1"/>
  <c r="A58" i="10" s="1"/>
  <c r="A57" i="10" s="1"/>
  <c r="A56" i="10" s="1"/>
  <c r="A55" i="10" s="1"/>
  <c r="A54" i="10" s="1"/>
  <c r="A53" i="10" s="1"/>
  <c r="A52" i="10" s="1"/>
  <c r="A51" i="10" s="1"/>
  <c r="A50" i="10" s="1"/>
  <c r="A49" i="10" s="1"/>
  <c r="A48" i="10" s="1"/>
  <c r="A47" i="10" s="1"/>
  <c r="A46" i="10" s="1"/>
  <c r="A45" i="10" s="1"/>
  <c r="A44" i="10" s="1"/>
  <c r="A43" i="10" s="1"/>
  <c r="A42" i="10" s="1"/>
  <c r="A41" i="10" s="1"/>
  <c r="A40" i="10" s="1"/>
  <c r="A39" i="10" s="1"/>
  <c r="A38" i="10" s="1"/>
  <c r="A37" i="10" s="1"/>
  <c r="A36" i="10" s="1"/>
  <c r="A35" i="10" s="1"/>
  <c r="A34" i="10" s="1"/>
  <c r="A33" i="10" s="1"/>
  <c r="A32" i="10" s="1"/>
  <c r="A31" i="10" s="1"/>
  <c r="A30" i="10" s="1"/>
  <c r="A29" i="10" s="1"/>
  <c r="A28" i="10" s="1"/>
  <c r="A27" i="10" s="1"/>
  <c r="A26" i="10" s="1"/>
  <c r="A25" i="10" s="1"/>
  <c r="A24" i="10" s="1"/>
  <c r="A23" i="10" s="1"/>
  <c r="A22" i="10" s="1"/>
  <c r="A21" i="10" s="1"/>
  <c r="A20" i="10" s="1"/>
  <c r="A19" i="10" s="1"/>
  <c r="A18" i="10" s="1"/>
  <c r="A17" i="10" s="1"/>
  <c r="A16" i="10" s="1"/>
  <c r="A15" i="10" s="1"/>
  <c r="A14" i="10" s="1"/>
  <c r="A13" i="10" s="1"/>
  <c r="A12" i="10" s="1"/>
  <c r="A11" i="10" s="1"/>
  <c r="A10" i="10" s="1"/>
  <c r="A9" i="10" s="1"/>
  <c r="A8" i="10" s="1"/>
  <c r="A7" i="10" s="1"/>
  <c r="A6" i="10" s="1"/>
  <c r="A5" i="10" s="1"/>
  <c r="A4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<sst xmlns="http://schemas.openxmlformats.org/spreadsheetml/2006/main" count="123" uniqueCount="68">
  <si>
    <t>Instrumento</t>
  </si>
  <si>
    <t>Fecha de Valuación</t>
  </si>
  <si>
    <t>Fecha de Vencimiento</t>
  </si>
  <si>
    <t>Valor Nominal</t>
  </si>
  <si>
    <t>Plazo a Vencimiento</t>
  </si>
  <si>
    <t>TC</t>
  </si>
  <si>
    <t>M_BONO_20270603</t>
  </si>
  <si>
    <t>M_BONO_20361120</t>
  </si>
  <si>
    <t>M_BONO_20421113</t>
  </si>
  <si>
    <t>M_BONO_20471107</t>
  </si>
  <si>
    <t>Plazo (Días)</t>
  </si>
  <si>
    <t>Inf</t>
  </si>
  <si>
    <t>Plazo</t>
  </si>
  <si>
    <t>Sup</t>
  </si>
  <si>
    <t>Posición</t>
  </si>
  <si>
    <t>Valuación</t>
  </si>
  <si>
    <t>NAFTRAC</t>
  </si>
  <si>
    <t>LACOMER</t>
  </si>
  <si>
    <t>CEMEX</t>
  </si>
  <si>
    <t>PEÑOLES</t>
  </si>
  <si>
    <t>VOLAR</t>
  </si>
  <si>
    <t>GAP</t>
  </si>
  <si>
    <t>AMZN</t>
  </si>
  <si>
    <t>TESLA</t>
  </si>
  <si>
    <t>ID</t>
  </si>
  <si>
    <t>Fecha</t>
  </si>
  <si>
    <t>Año</t>
  </si>
  <si>
    <t>Mes</t>
  </si>
  <si>
    <t>T.C.</t>
  </si>
  <si>
    <t>AMZN (USD)</t>
  </si>
  <si>
    <t>TESLA (USD)</t>
  </si>
  <si>
    <t>Tipo de Cambio</t>
  </si>
  <si>
    <t>FACTORES BASE</t>
  </si>
  <si>
    <t>Tipo de Cambio =</t>
  </si>
  <si>
    <t>DIVISAS:</t>
  </si>
  <si>
    <t>ÍNDICES:</t>
  </si>
  <si>
    <t>IPC (Mex) =</t>
  </si>
  <si>
    <t>S&amp;P500 (Ext) =</t>
  </si>
  <si>
    <t>IPC (MEX)</t>
  </si>
  <si>
    <t>S&amp;P500 (USD)</t>
  </si>
  <si>
    <t>Betas</t>
  </si>
  <si>
    <t>CURVA:</t>
  </si>
  <si>
    <t>Impacto a Curva =</t>
  </si>
  <si>
    <t>P.B</t>
  </si>
  <si>
    <t>Beta</t>
  </si>
  <si>
    <t>Acción</t>
  </si>
  <si>
    <t>Precio Base</t>
  </si>
  <si>
    <t>Precio Impactado</t>
  </si>
  <si>
    <t>Portafolio Base=</t>
  </si>
  <si>
    <t>Movimiento de Tasas</t>
  </si>
  <si>
    <t>Movimiento IPC</t>
  </si>
  <si>
    <t>Movimiento del S&amp;P500</t>
  </si>
  <si>
    <t>Movimiento del TC</t>
  </si>
  <si>
    <t>Precio</t>
  </si>
  <si>
    <t>FACTORES BAJO ESCENARIO CON IMPACTOS</t>
  </si>
  <si>
    <t>Mercado</t>
  </si>
  <si>
    <t>MEX</t>
  </si>
  <si>
    <t>US</t>
  </si>
  <si>
    <t>Curva de Tasas en Pesos (MXN) - 31-Dic-2024</t>
  </si>
  <si>
    <t>BI_CETES_250515</t>
  </si>
  <si>
    <t>BI_CETES_250605</t>
  </si>
  <si>
    <t>BI_CETES_250619</t>
  </si>
  <si>
    <t>BI_CETES_250626</t>
  </si>
  <si>
    <t>Que el peso se devalue</t>
  </si>
  <si>
    <t>Que bajen</t>
  </si>
  <si>
    <t>&lt;- Valuación a mercado del portafolio</t>
  </si>
  <si>
    <t>PÉRDIDA</t>
  </si>
  <si>
    <t>Desglose de pérdidas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</si>
</sst>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* #,##0.000_-;\-* #,##0.000_-;_-* &quot;-&quot;??_-;_-@_-"/>
    <numFmt numFmtId="166" formatCode="0.000"/>
    <numFmt numFmtId="167" formatCode="_-* #,##0.0000_-;\-* #,##0.00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2" borderId="0" xfId="0" applyFill="1"/>
    <xf numFmtId="44" fontId="0" fillId="3" borderId="0" xfId="1" applyFont="1" applyFill="1"/>
    <xf numFmtId="10" fontId="0" fillId="0" borderId="0" xfId="0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0" fontId="3" fillId="4" borderId="0" xfId="0" applyFont="1" applyFill="1" applyAlignment="1">
      <alignment horizontal="left"/>
    </xf>
    <xf numFmtId="0" fontId="0" fillId="4" borderId="0" xfId="0" applyFill="1"/>
    <xf numFmtId="14" fontId="2" fillId="0" borderId="0" xfId="0" applyNumberFormat="1" applyFont="1" applyAlignment="1">
      <alignment horizontal="center"/>
    </xf>
    <xf numFmtId="3" fontId="0" fillId="0" borderId="0" xfId="0" applyNumberFormat="1"/>
    <xf numFmtId="1" fontId="0" fillId="0" borderId="0" xfId="0" applyNumberFormat="1" applyAlignment="1">
      <alignment horizontal="center"/>
    </xf>
    <xf numFmtId="44" fontId="0" fillId="0" borderId="0" xfId="1" applyFont="1" applyFill="1"/>
    <xf numFmtId="44" fontId="2" fillId="0" borderId="2" xfId="0" applyNumberFormat="1" applyFont="1" applyBorder="1"/>
    <xf numFmtId="3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4" fontId="4" fillId="0" borderId="0" xfId="0" applyNumberFormat="1" applyFont="1"/>
    <xf numFmtId="1" fontId="4" fillId="0" borderId="0" xfId="0" applyNumberFormat="1" applyFont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0" xfId="0" applyNumberFormat="1" applyFont="1"/>
    <xf numFmtId="164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4" fontId="0" fillId="0" borderId="0" xfId="0" applyNumberFormat="1"/>
    <xf numFmtId="43" fontId="0" fillId="0" borderId="0" xfId="3" applyFont="1"/>
    <xf numFmtId="164" fontId="0" fillId="0" borderId="0" xfId="0" applyNumberFormat="1"/>
    <xf numFmtId="43" fontId="0" fillId="3" borderId="0" xfId="3" applyFont="1" applyFill="1"/>
    <xf numFmtId="0" fontId="2" fillId="0" borderId="0" xfId="0" applyFont="1"/>
    <xf numFmtId="0" fontId="2" fillId="0" borderId="0" xfId="0" applyFont="1" applyAlignment="1">
      <alignment horizontal="left" indent="1"/>
    </xf>
    <xf numFmtId="9" fontId="4" fillId="4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3" fontId="2" fillId="0" borderId="0" xfId="3" applyFont="1"/>
    <xf numFmtId="166" fontId="0" fillId="3" borderId="0" xfId="1" applyNumberFormat="1" applyFont="1" applyFill="1" applyAlignment="1">
      <alignment horizontal="center"/>
    </xf>
    <xf numFmtId="9" fontId="0" fillId="0" borderId="0" xfId="2" applyFont="1" applyAlignment="1">
      <alignment horizontal="center"/>
    </xf>
    <xf numFmtId="44" fontId="0" fillId="0" borderId="0" xfId="1" applyFont="1"/>
    <xf numFmtId="44" fontId="4" fillId="0" borderId="0" xfId="0" applyNumberFormat="1" applyFont="1"/>
    <xf numFmtId="10" fontId="5" fillId="0" borderId="0" xfId="2" applyNumberFormat="1" applyFont="1" applyAlignment="1">
      <alignment horizontal="center"/>
    </xf>
    <xf numFmtId="167" fontId="0" fillId="3" borderId="0" xfId="3" applyNumberFormat="1" applyFont="1" applyFill="1"/>
    <xf numFmtId="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65" fontId="0" fillId="2" borderId="0" xfId="3" applyNumberFormat="1" applyFont="1" applyFill="1" applyAlignment="1">
      <alignment horizontal="center"/>
    </xf>
    <xf numFmtId="165" fontId="0" fillId="2" borderId="0" xfId="3" applyNumberFormat="1" applyFont="1" applyFill="1"/>
    <xf numFmtId="10" fontId="0" fillId="0" borderId="0" xfId="2" applyNumberFormat="1" applyFont="1" applyFill="1" applyAlignment="1">
      <alignment horizontal="center"/>
    </xf>
    <xf numFmtId="44" fontId="4" fillId="0" borderId="2" xfId="0" applyNumberFormat="1" applyFont="1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485" Type="http://schemas.openxmlformats.org/officeDocument/2006/relationships/customXml" Target="../ink/ink93.xml"/><Relationship Id="rId510" Type="http://schemas.openxmlformats.org/officeDocument/2006/relationships/customXml" Target="../ink/ink118.xml"/><Relationship Id="rId531" Type="http://schemas.openxmlformats.org/officeDocument/2006/relationships/customXml" Target="../ink/ink139.xml"/><Relationship Id="rId552" Type="http://schemas.openxmlformats.org/officeDocument/2006/relationships/customXml" Target="../ink/ink160.xml"/><Relationship Id="rId573" Type="http://schemas.openxmlformats.org/officeDocument/2006/relationships/customXml" Target="../ink/ink181.xml"/><Relationship Id="rId412" Type="http://schemas.openxmlformats.org/officeDocument/2006/relationships/customXml" Target="../ink/ink20.xml"/><Relationship Id="rId433" Type="http://schemas.openxmlformats.org/officeDocument/2006/relationships/customXml" Target="../ink/ink41.xml"/><Relationship Id="rId454" Type="http://schemas.openxmlformats.org/officeDocument/2006/relationships/customXml" Target="../ink/ink62.xml"/><Relationship Id="rId475" Type="http://schemas.openxmlformats.org/officeDocument/2006/relationships/customXml" Target="../ink/ink83.xml"/><Relationship Id="rId496" Type="http://schemas.openxmlformats.org/officeDocument/2006/relationships/customXml" Target="../ink/ink104.xml"/><Relationship Id="rId398" Type="http://schemas.openxmlformats.org/officeDocument/2006/relationships/customXml" Target="../ink/ink6.xml"/><Relationship Id="rId500" Type="http://schemas.openxmlformats.org/officeDocument/2006/relationships/customXml" Target="../ink/ink108.xml"/><Relationship Id="rId521" Type="http://schemas.openxmlformats.org/officeDocument/2006/relationships/customXml" Target="../ink/ink129.xml"/><Relationship Id="rId542" Type="http://schemas.openxmlformats.org/officeDocument/2006/relationships/customXml" Target="../ink/ink150.xml"/><Relationship Id="rId563" Type="http://schemas.openxmlformats.org/officeDocument/2006/relationships/customXml" Target="../ink/ink171.xml"/><Relationship Id="rId584" Type="http://schemas.openxmlformats.org/officeDocument/2006/relationships/customXml" Target="../ink/ink192.xml"/><Relationship Id="rId402" Type="http://schemas.openxmlformats.org/officeDocument/2006/relationships/customXml" Target="../ink/ink10.xml"/><Relationship Id="rId423" Type="http://schemas.openxmlformats.org/officeDocument/2006/relationships/customXml" Target="../ink/ink31.xml"/><Relationship Id="rId444" Type="http://schemas.openxmlformats.org/officeDocument/2006/relationships/customXml" Target="../ink/ink52.xml"/><Relationship Id="rId465" Type="http://schemas.openxmlformats.org/officeDocument/2006/relationships/customXml" Target="../ink/ink73.xml"/><Relationship Id="rId486" Type="http://schemas.openxmlformats.org/officeDocument/2006/relationships/customXml" Target="../ink/ink94.xml"/><Relationship Id="rId511" Type="http://schemas.openxmlformats.org/officeDocument/2006/relationships/customXml" Target="../ink/ink119.xml"/><Relationship Id="rId532" Type="http://schemas.openxmlformats.org/officeDocument/2006/relationships/customXml" Target="../ink/ink140.xml"/><Relationship Id="rId553" Type="http://schemas.openxmlformats.org/officeDocument/2006/relationships/customXml" Target="../ink/ink161.xml"/><Relationship Id="rId574" Type="http://schemas.openxmlformats.org/officeDocument/2006/relationships/customXml" Target="../ink/ink182.xml"/><Relationship Id="rId413" Type="http://schemas.openxmlformats.org/officeDocument/2006/relationships/customXml" Target="../ink/ink21.xml"/><Relationship Id="rId434" Type="http://schemas.openxmlformats.org/officeDocument/2006/relationships/customXml" Target="../ink/ink42.xml"/><Relationship Id="rId455" Type="http://schemas.openxmlformats.org/officeDocument/2006/relationships/customXml" Target="../ink/ink63.xml"/><Relationship Id="rId476" Type="http://schemas.openxmlformats.org/officeDocument/2006/relationships/customXml" Target="../ink/ink84.xml"/><Relationship Id="rId497" Type="http://schemas.openxmlformats.org/officeDocument/2006/relationships/customXml" Target="../ink/ink105.xml"/><Relationship Id="rId501" Type="http://schemas.openxmlformats.org/officeDocument/2006/relationships/customXml" Target="../ink/ink109.xml"/><Relationship Id="rId522" Type="http://schemas.openxmlformats.org/officeDocument/2006/relationships/customXml" Target="../ink/ink130.xml"/><Relationship Id="rId543" Type="http://schemas.openxmlformats.org/officeDocument/2006/relationships/customXml" Target="../ink/ink151.xml"/><Relationship Id="rId399" Type="http://schemas.openxmlformats.org/officeDocument/2006/relationships/customXml" Target="../ink/ink7.xml"/><Relationship Id="rId403" Type="http://schemas.openxmlformats.org/officeDocument/2006/relationships/customXml" Target="../ink/ink11.xml"/><Relationship Id="rId564" Type="http://schemas.openxmlformats.org/officeDocument/2006/relationships/customXml" Target="../ink/ink172.xml"/><Relationship Id="rId585" Type="http://schemas.openxmlformats.org/officeDocument/2006/relationships/customXml" Target="../ink/ink193.xml"/><Relationship Id="rId424" Type="http://schemas.openxmlformats.org/officeDocument/2006/relationships/customXml" Target="../ink/ink32.xml"/><Relationship Id="rId445" Type="http://schemas.openxmlformats.org/officeDocument/2006/relationships/customXml" Target="../ink/ink53.xml"/><Relationship Id="rId466" Type="http://schemas.openxmlformats.org/officeDocument/2006/relationships/customXml" Target="../ink/ink74.xml"/><Relationship Id="rId487" Type="http://schemas.openxmlformats.org/officeDocument/2006/relationships/customXml" Target="../ink/ink95.xml"/><Relationship Id="rId512" Type="http://schemas.openxmlformats.org/officeDocument/2006/relationships/customXml" Target="../ink/ink120.xml"/><Relationship Id="rId533" Type="http://schemas.openxmlformats.org/officeDocument/2006/relationships/customXml" Target="../ink/ink141.xml"/><Relationship Id="rId554" Type="http://schemas.openxmlformats.org/officeDocument/2006/relationships/customXml" Target="../ink/ink162.xml"/><Relationship Id="rId575" Type="http://schemas.openxmlformats.org/officeDocument/2006/relationships/customXml" Target="../ink/ink183.xml"/><Relationship Id="rId414" Type="http://schemas.openxmlformats.org/officeDocument/2006/relationships/customXml" Target="../ink/ink22.xml"/><Relationship Id="rId435" Type="http://schemas.openxmlformats.org/officeDocument/2006/relationships/customXml" Target="../ink/ink43.xml"/><Relationship Id="rId456" Type="http://schemas.openxmlformats.org/officeDocument/2006/relationships/customXml" Target="../ink/ink64.xml"/><Relationship Id="rId477" Type="http://schemas.openxmlformats.org/officeDocument/2006/relationships/customXml" Target="../ink/ink85.xml"/><Relationship Id="rId498" Type="http://schemas.openxmlformats.org/officeDocument/2006/relationships/customXml" Target="../ink/ink106.xml"/><Relationship Id="rId502" Type="http://schemas.openxmlformats.org/officeDocument/2006/relationships/customXml" Target="../ink/ink110.xml"/><Relationship Id="rId523" Type="http://schemas.openxmlformats.org/officeDocument/2006/relationships/customXml" Target="../ink/ink131.xml"/><Relationship Id="rId544" Type="http://schemas.openxmlformats.org/officeDocument/2006/relationships/customXml" Target="../ink/ink152.xml"/><Relationship Id="rId565" Type="http://schemas.openxmlformats.org/officeDocument/2006/relationships/customXml" Target="../ink/ink173.xml"/><Relationship Id="rId586" Type="http://schemas.openxmlformats.org/officeDocument/2006/relationships/customXml" Target="../ink/ink194.xml"/><Relationship Id="rId404" Type="http://schemas.openxmlformats.org/officeDocument/2006/relationships/customXml" Target="../ink/ink12.xml"/><Relationship Id="rId420" Type="http://schemas.openxmlformats.org/officeDocument/2006/relationships/customXml" Target="../ink/ink28.xml"/><Relationship Id="rId425" Type="http://schemas.openxmlformats.org/officeDocument/2006/relationships/customXml" Target="../ink/ink33.xml"/><Relationship Id="rId446" Type="http://schemas.openxmlformats.org/officeDocument/2006/relationships/customXml" Target="../ink/ink54.xml"/><Relationship Id="rId467" Type="http://schemas.openxmlformats.org/officeDocument/2006/relationships/customXml" Target="../ink/ink75.xml"/><Relationship Id="rId441" Type="http://schemas.openxmlformats.org/officeDocument/2006/relationships/customXml" Target="../ink/ink49.xml"/><Relationship Id="rId462" Type="http://schemas.openxmlformats.org/officeDocument/2006/relationships/customXml" Target="../ink/ink70.xml"/><Relationship Id="rId483" Type="http://schemas.openxmlformats.org/officeDocument/2006/relationships/customXml" Target="../ink/ink91.xml"/><Relationship Id="rId488" Type="http://schemas.openxmlformats.org/officeDocument/2006/relationships/customXml" Target="../ink/ink96.xml"/><Relationship Id="rId518" Type="http://schemas.openxmlformats.org/officeDocument/2006/relationships/customXml" Target="../ink/ink126.xml"/><Relationship Id="rId539" Type="http://schemas.openxmlformats.org/officeDocument/2006/relationships/customXml" Target="../ink/ink147.xml"/><Relationship Id="rId513" Type="http://schemas.openxmlformats.org/officeDocument/2006/relationships/customXml" Target="../ink/ink121.xml"/><Relationship Id="rId534" Type="http://schemas.openxmlformats.org/officeDocument/2006/relationships/customXml" Target="../ink/ink142.xml"/><Relationship Id="rId550" Type="http://schemas.openxmlformats.org/officeDocument/2006/relationships/customXml" Target="../ink/ink158.xml"/><Relationship Id="rId555" Type="http://schemas.openxmlformats.org/officeDocument/2006/relationships/customXml" Target="../ink/ink163.xml"/><Relationship Id="rId576" Type="http://schemas.openxmlformats.org/officeDocument/2006/relationships/customXml" Target="../ink/ink184.xml"/><Relationship Id="rId415" Type="http://schemas.openxmlformats.org/officeDocument/2006/relationships/customXml" Target="../ink/ink23.xml"/><Relationship Id="rId436" Type="http://schemas.openxmlformats.org/officeDocument/2006/relationships/customXml" Target="../ink/ink44.xml"/><Relationship Id="rId457" Type="http://schemas.openxmlformats.org/officeDocument/2006/relationships/customXml" Target="../ink/ink65.xml"/><Relationship Id="rId571" Type="http://schemas.openxmlformats.org/officeDocument/2006/relationships/customXml" Target="../ink/ink179.xml"/><Relationship Id="rId410" Type="http://schemas.openxmlformats.org/officeDocument/2006/relationships/customXml" Target="../ink/ink18.xml"/><Relationship Id="rId431" Type="http://schemas.openxmlformats.org/officeDocument/2006/relationships/customXml" Target="../ink/ink39.xml"/><Relationship Id="rId452" Type="http://schemas.openxmlformats.org/officeDocument/2006/relationships/customXml" Target="../ink/ink60.xml"/><Relationship Id="rId473" Type="http://schemas.openxmlformats.org/officeDocument/2006/relationships/customXml" Target="../ink/ink81.xml"/><Relationship Id="rId478" Type="http://schemas.openxmlformats.org/officeDocument/2006/relationships/customXml" Target="../ink/ink86.xml"/><Relationship Id="rId494" Type="http://schemas.openxmlformats.org/officeDocument/2006/relationships/customXml" Target="../ink/ink102.xml"/><Relationship Id="rId499" Type="http://schemas.openxmlformats.org/officeDocument/2006/relationships/customXml" Target="../ink/ink107.xml"/><Relationship Id="rId508" Type="http://schemas.openxmlformats.org/officeDocument/2006/relationships/customXml" Target="../ink/ink116.xml"/><Relationship Id="rId529" Type="http://schemas.openxmlformats.org/officeDocument/2006/relationships/customXml" Target="../ink/ink137.xml"/><Relationship Id="rId503" Type="http://schemas.openxmlformats.org/officeDocument/2006/relationships/customXml" Target="../ink/ink111.xml"/><Relationship Id="rId524" Type="http://schemas.openxmlformats.org/officeDocument/2006/relationships/customXml" Target="../ink/ink132.xml"/><Relationship Id="rId540" Type="http://schemas.openxmlformats.org/officeDocument/2006/relationships/customXml" Target="../ink/ink148.xml"/><Relationship Id="rId545" Type="http://schemas.openxmlformats.org/officeDocument/2006/relationships/customXml" Target="../ink/ink153.xml"/><Relationship Id="rId566" Type="http://schemas.openxmlformats.org/officeDocument/2006/relationships/customXml" Target="../ink/ink174.xml"/><Relationship Id="rId587" Type="http://schemas.openxmlformats.org/officeDocument/2006/relationships/customXml" Target="../ink/ink195.xml"/><Relationship Id="rId396" Type="http://schemas.openxmlformats.org/officeDocument/2006/relationships/customXml" Target="../ink/ink4.xml"/><Relationship Id="rId405" Type="http://schemas.openxmlformats.org/officeDocument/2006/relationships/customXml" Target="../ink/ink13.xml"/><Relationship Id="rId426" Type="http://schemas.openxmlformats.org/officeDocument/2006/relationships/customXml" Target="../ink/ink34.xml"/><Relationship Id="rId447" Type="http://schemas.openxmlformats.org/officeDocument/2006/relationships/customXml" Target="../ink/ink55.xml"/><Relationship Id="rId561" Type="http://schemas.openxmlformats.org/officeDocument/2006/relationships/customXml" Target="../ink/ink169.xml"/><Relationship Id="rId582" Type="http://schemas.openxmlformats.org/officeDocument/2006/relationships/customXml" Target="../ink/ink190.xml"/><Relationship Id="rId400" Type="http://schemas.openxmlformats.org/officeDocument/2006/relationships/customXml" Target="../ink/ink8.xml"/><Relationship Id="rId421" Type="http://schemas.openxmlformats.org/officeDocument/2006/relationships/customXml" Target="../ink/ink29.xml"/><Relationship Id="rId442" Type="http://schemas.openxmlformats.org/officeDocument/2006/relationships/customXml" Target="../ink/ink50.xml"/><Relationship Id="rId463" Type="http://schemas.openxmlformats.org/officeDocument/2006/relationships/customXml" Target="../ink/ink71.xml"/><Relationship Id="rId468" Type="http://schemas.openxmlformats.org/officeDocument/2006/relationships/customXml" Target="../ink/ink76.xml"/><Relationship Id="rId484" Type="http://schemas.openxmlformats.org/officeDocument/2006/relationships/customXml" Target="../ink/ink92.xml"/><Relationship Id="rId489" Type="http://schemas.openxmlformats.org/officeDocument/2006/relationships/customXml" Target="../ink/ink97.xml"/><Relationship Id="rId519" Type="http://schemas.openxmlformats.org/officeDocument/2006/relationships/customXml" Target="../ink/ink127.xml"/><Relationship Id="rId514" Type="http://schemas.openxmlformats.org/officeDocument/2006/relationships/customXml" Target="../ink/ink122.xml"/><Relationship Id="rId530" Type="http://schemas.openxmlformats.org/officeDocument/2006/relationships/customXml" Target="../ink/ink138.xml"/><Relationship Id="rId535" Type="http://schemas.openxmlformats.org/officeDocument/2006/relationships/customXml" Target="../ink/ink143.xml"/><Relationship Id="rId556" Type="http://schemas.openxmlformats.org/officeDocument/2006/relationships/customXml" Target="../ink/ink164.xml"/><Relationship Id="rId577" Type="http://schemas.openxmlformats.org/officeDocument/2006/relationships/customXml" Target="../ink/ink185.xml"/><Relationship Id="rId416" Type="http://schemas.openxmlformats.org/officeDocument/2006/relationships/customXml" Target="../ink/ink24.xml"/><Relationship Id="rId551" Type="http://schemas.openxmlformats.org/officeDocument/2006/relationships/customXml" Target="../ink/ink159.xml"/><Relationship Id="rId572" Type="http://schemas.openxmlformats.org/officeDocument/2006/relationships/customXml" Target="../ink/ink180.xml"/><Relationship Id="rId411" Type="http://schemas.openxmlformats.org/officeDocument/2006/relationships/customXml" Target="../ink/ink19.xml"/><Relationship Id="rId432" Type="http://schemas.openxmlformats.org/officeDocument/2006/relationships/customXml" Target="../ink/ink40.xml"/><Relationship Id="rId437" Type="http://schemas.openxmlformats.org/officeDocument/2006/relationships/customXml" Target="../ink/ink45.xml"/><Relationship Id="rId453" Type="http://schemas.openxmlformats.org/officeDocument/2006/relationships/customXml" Target="../ink/ink61.xml"/><Relationship Id="rId458" Type="http://schemas.openxmlformats.org/officeDocument/2006/relationships/customXml" Target="../ink/ink66.xml"/><Relationship Id="rId474" Type="http://schemas.openxmlformats.org/officeDocument/2006/relationships/customXml" Target="../ink/ink82.xml"/><Relationship Id="rId479" Type="http://schemas.openxmlformats.org/officeDocument/2006/relationships/customXml" Target="../ink/ink87.xml"/><Relationship Id="rId509" Type="http://schemas.openxmlformats.org/officeDocument/2006/relationships/customXml" Target="../ink/ink117.xml"/><Relationship Id="rId490" Type="http://schemas.openxmlformats.org/officeDocument/2006/relationships/customXml" Target="../ink/ink98.xml"/><Relationship Id="rId495" Type="http://schemas.openxmlformats.org/officeDocument/2006/relationships/customXml" Target="../ink/ink103.xml"/><Relationship Id="rId504" Type="http://schemas.openxmlformats.org/officeDocument/2006/relationships/customXml" Target="../ink/ink112.xml"/><Relationship Id="rId525" Type="http://schemas.openxmlformats.org/officeDocument/2006/relationships/customXml" Target="../ink/ink133.xml"/><Relationship Id="rId546" Type="http://schemas.openxmlformats.org/officeDocument/2006/relationships/customXml" Target="../ink/ink154.xml"/><Relationship Id="rId567" Type="http://schemas.openxmlformats.org/officeDocument/2006/relationships/customXml" Target="../ink/ink175.xml"/><Relationship Id="rId397" Type="http://schemas.openxmlformats.org/officeDocument/2006/relationships/customXml" Target="../ink/ink5.xml"/><Relationship Id="rId406" Type="http://schemas.openxmlformats.org/officeDocument/2006/relationships/customXml" Target="../ink/ink14.xml"/><Relationship Id="rId520" Type="http://schemas.openxmlformats.org/officeDocument/2006/relationships/customXml" Target="../ink/ink128.xml"/><Relationship Id="rId541" Type="http://schemas.openxmlformats.org/officeDocument/2006/relationships/customXml" Target="../ink/ink149.xml"/><Relationship Id="rId562" Type="http://schemas.openxmlformats.org/officeDocument/2006/relationships/customXml" Target="../ink/ink170.xml"/><Relationship Id="rId583" Type="http://schemas.openxmlformats.org/officeDocument/2006/relationships/customXml" Target="../ink/ink191.xml"/><Relationship Id="rId588" Type="http://schemas.openxmlformats.org/officeDocument/2006/relationships/customXml" Target="../ink/ink196.xml"/><Relationship Id="rId401" Type="http://schemas.openxmlformats.org/officeDocument/2006/relationships/customXml" Target="../ink/ink9.xml"/><Relationship Id="rId422" Type="http://schemas.openxmlformats.org/officeDocument/2006/relationships/customXml" Target="../ink/ink30.xml"/><Relationship Id="rId427" Type="http://schemas.openxmlformats.org/officeDocument/2006/relationships/customXml" Target="../ink/ink35.xml"/><Relationship Id="rId443" Type="http://schemas.openxmlformats.org/officeDocument/2006/relationships/customXml" Target="../ink/ink51.xml"/><Relationship Id="rId448" Type="http://schemas.openxmlformats.org/officeDocument/2006/relationships/customXml" Target="../ink/ink56.xml"/><Relationship Id="rId464" Type="http://schemas.openxmlformats.org/officeDocument/2006/relationships/customXml" Target="../ink/ink72.xml"/><Relationship Id="rId469" Type="http://schemas.openxmlformats.org/officeDocument/2006/relationships/customXml" Target="../ink/ink77.xml"/><Relationship Id="rId480" Type="http://schemas.openxmlformats.org/officeDocument/2006/relationships/customXml" Target="../ink/ink88.xml"/><Relationship Id="rId515" Type="http://schemas.openxmlformats.org/officeDocument/2006/relationships/customXml" Target="../ink/ink123.xml"/><Relationship Id="rId536" Type="http://schemas.openxmlformats.org/officeDocument/2006/relationships/customXml" Target="../ink/ink144.xml"/><Relationship Id="rId557" Type="http://schemas.openxmlformats.org/officeDocument/2006/relationships/customXml" Target="../ink/ink165.xml"/><Relationship Id="rId578" Type="http://schemas.openxmlformats.org/officeDocument/2006/relationships/customXml" Target="../ink/ink186.xml"/><Relationship Id="rId417" Type="http://schemas.openxmlformats.org/officeDocument/2006/relationships/customXml" Target="../ink/ink25.xml"/><Relationship Id="rId438" Type="http://schemas.openxmlformats.org/officeDocument/2006/relationships/customXml" Target="../ink/ink46.xml"/><Relationship Id="rId459" Type="http://schemas.openxmlformats.org/officeDocument/2006/relationships/customXml" Target="../ink/ink67.xml"/><Relationship Id="rId470" Type="http://schemas.openxmlformats.org/officeDocument/2006/relationships/customXml" Target="../ink/ink78.xml"/><Relationship Id="rId491" Type="http://schemas.openxmlformats.org/officeDocument/2006/relationships/customXml" Target="../ink/ink99.xml"/><Relationship Id="rId505" Type="http://schemas.openxmlformats.org/officeDocument/2006/relationships/customXml" Target="../ink/ink113.xml"/><Relationship Id="rId526" Type="http://schemas.openxmlformats.org/officeDocument/2006/relationships/customXml" Target="../ink/ink134.xml"/><Relationship Id="rId547" Type="http://schemas.openxmlformats.org/officeDocument/2006/relationships/customXml" Target="../ink/ink155.xml"/><Relationship Id="rId568" Type="http://schemas.openxmlformats.org/officeDocument/2006/relationships/customXml" Target="../ink/ink176.xml"/><Relationship Id="rId393" Type="http://schemas.openxmlformats.org/officeDocument/2006/relationships/image" Target="../media/image194.png"/><Relationship Id="rId407" Type="http://schemas.openxmlformats.org/officeDocument/2006/relationships/customXml" Target="../ink/ink15.xml"/><Relationship Id="rId428" Type="http://schemas.openxmlformats.org/officeDocument/2006/relationships/customXml" Target="../ink/ink36.xml"/><Relationship Id="rId449" Type="http://schemas.openxmlformats.org/officeDocument/2006/relationships/customXml" Target="../ink/ink57.xml"/><Relationship Id="rId460" Type="http://schemas.openxmlformats.org/officeDocument/2006/relationships/customXml" Target="../ink/ink68.xml"/><Relationship Id="rId481" Type="http://schemas.openxmlformats.org/officeDocument/2006/relationships/customXml" Target="../ink/ink89.xml"/><Relationship Id="rId516" Type="http://schemas.openxmlformats.org/officeDocument/2006/relationships/customXml" Target="../ink/ink124.xml"/><Relationship Id="rId537" Type="http://schemas.openxmlformats.org/officeDocument/2006/relationships/customXml" Target="../ink/ink145.xml"/><Relationship Id="rId558" Type="http://schemas.openxmlformats.org/officeDocument/2006/relationships/customXml" Target="../ink/ink166.xml"/><Relationship Id="rId579" Type="http://schemas.openxmlformats.org/officeDocument/2006/relationships/customXml" Target="../ink/ink187.xml"/><Relationship Id="rId418" Type="http://schemas.openxmlformats.org/officeDocument/2006/relationships/customXml" Target="../ink/ink26.xml"/><Relationship Id="rId439" Type="http://schemas.openxmlformats.org/officeDocument/2006/relationships/customXml" Target="../ink/ink47.xml"/><Relationship Id="rId450" Type="http://schemas.openxmlformats.org/officeDocument/2006/relationships/customXml" Target="../ink/ink58.xml"/><Relationship Id="rId471" Type="http://schemas.openxmlformats.org/officeDocument/2006/relationships/customXml" Target="../ink/ink79.xml"/><Relationship Id="rId506" Type="http://schemas.openxmlformats.org/officeDocument/2006/relationships/customXml" Target="../ink/ink114.xml"/><Relationship Id="rId492" Type="http://schemas.openxmlformats.org/officeDocument/2006/relationships/customXml" Target="../ink/ink100.xml"/><Relationship Id="rId527" Type="http://schemas.openxmlformats.org/officeDocument/2006/relationships/customXml" Target="../ink/ink135.xml"/><Relationship Id="rId548" Type="http://schemas.openxmlformats.org/officeDocument/2006/relationships/customXml" Target="../ink/ink156.xml"/><Relationship Id="rId569" Type="http://schemas.openxmlformats.org/officeDocument/2006/relationships/customXml" Target="../ink/ink177.xml"/><Relationship Id="rId394" Type="http://schemas.openxmlformats.org/officeDocument/2006/relationships/customXml" Target="../ink/ink2.xml"/><Relationship Id="rId408" Type="http://schemas.openxmlformats.org/officeDocument/2006/relationships/customXml" Target="../ink/ink16.xml"/><Relationship Id="rId429" Type="http://schemas.openxmlformats.org/officeDocument/2006/relationships/customXml" Target="../ink/ink37.xml"/><Relationship Id="rId580" Type="http://schemas.openxmlformats.org/officeDocument/2006/relationships/customXml" Target="../ink/ink188.xml"/><Relationship Id="rId1" Type="http://schemas.openxmlformats.org/officeDocument/2006/relationships/customXml" Target="../ink/ink1.xml"/><Relationship Id="rId440" Type="http://schemas.openxmlformats.org/officeDocument/2006/relationships/customXml" Target="../ink/ink48.xml"/><Relationship Id="rId461" Type="http://schemas.openxmlformats.org/officeDocument/2006/relationships/customXml" Target="../ink/ink69.xml"/><Relationship Id="rId482" Type="http://schemas.openxmlformats.org/officeDocument/2006/relationships/customXml" Target="../ink/ink90.xml"/><Relationship Id="rId517" Type="http://schemas.openxmlformats.org/officeDocument/2006/relationships/customXml" Target="../ink/ink125.xml"/><Relationship Id="rId538" Type="http://schemas.openxmlformats.org/officeDocument/2006/relationships/customXml" Target="../ink/ink146.xml"/><Relationship Id="rId559" Type="http://schemas.openxmlformats.org/officeDocument/2006/relationships/customXml" Target="../ink/ink167.xml"/><Relationship Id="rId419" Type="http://schemas.openxmlformats.org/officeDocument/2006/relationships/customXml" Target="../ink/ink27.xml"/><Relationship Id="rId570" Type="http://schemas.openxmlformats.org/officeDocument/2006/relationships/customXml" Target="../ink/ink178.xml"/><Relationship Id="rId430" Type="http://schemas.openxmlformats.org/officeDocument/2006/relationships/customXml" Target="../ink/ink38.xml"/><Relationship Id="rId451" Type="http://schemas.openxmlformats.org/officeDocument/2006/relationships/customXml" Target="../ink/ink59.xml"/><Relationship Id="rId472" Type="http://schemas.openxmlformats.org/officeDocument/2006/relationships/customXml" Target="../ink/ink80.xml"/><Relationship Id="rId493" Type="http://schemas.openxmlformats.org/officeDocument/2006/relationships/customXml" Target="../ink/ink101.xml"/><Relationship Id="rId507" Type="http://schemas.openxmlformats.org/officeDocument/2006/relationships/customXml" Target="../ink/ink115.xml"/><Relationship Id="rId528" Type="http://schemas.openxmlformats.org/officeDocument/2006/relationships/customXml" Target="../ink/ink136.xml"/><Relationship Id="rId549" Type="http://schemas.openxmlformats.org/officeDocument/2006/relationships/customXml" Target="../ink/ink157.xml"/><Relationship Id="rId395" Type="http://schemas.openxmlformats.org/officeDocument/2006/relationships/customXml" Target="../ink/ink3.xml"/><Relationship Id="rId409" Type="http://schemas.openxmlformats.org/officeDocument/2006/relationships/customXml" Target="../ink/ink17.xml"/><Relationship Id="rId560" Type="http://schemas.openxmlformats.org/officeDocument/2006/relationships/customXml" Target="../ink/ink168.xml"/><Relationship Id="rId581" Type="http://schemas.openxmlformats.org/officeDocument/2006/relationships/customXml" Target="../ink/ink18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611682</xdr:colOff>
      <xdr:row>23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Entrada de lápiz 1">
              <a:extLst>
                <a:ext uri="{FF2B5EF4-FFF2-40B4-BE49-F238E27FC236}">
                  <a16:creationId xmlns:a16="http://schemas.microsoft.com/office/drawing/2014/main" id="{E04F60D9-4529-4FE6-9D8E-4778B96BE3C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4">
          <xdr14:nvContentPartPr>
            <xdr14:cNvPr id="3" name="Entrada de lápiz 2">
              <a:extLst>
                <a:ext uri="{FF2B5EF4-FFF2-40B4-BE49-F238E27FC236}">
                  <a16:creationId xmlns:a16="http://schemas.microsoft.com/office/drawing/2014/main" id="{CA19F843-26CE-4CFC-99AC-4C58179CF76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5">
          <xdr14:nvContentPartPr>
            <xdr14:cNvPr id="4" name="Entrada de lápiz 3">
              <a:extLst>
                <a:ext uri="{FF2B5EF4-FFF2-40B4-BE49-F238E27FC236}">
                  <a16:creationId xmlns:a16="http://schemas.microsoft.com/office/drawing/2014/main" id="{736022C8-7FA0-4B0B-B510-C8E6F77C3D5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26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6">
          <xdr14:nvContentPartPr>
            <xdr14:cNvPr id="5" name="Entrada de lápiz 4">
              <a:extLst>
                <a:ext uri="{FF2B5EF4-FFF2-40B4-BE49-F238E27FC236}">
                  <a16:creationId xmlns:a16="http://schemas.microsoft.com/office/drawing/2014/main" id="{EC493D0E-D30A-46BE-9D2B-A2089F13D27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7">
          <xdr14:nvContentPartPr>
            <xdr14:cNvPr id="6" name="Entrada de lápiz 5">
              <a:extLst>
                <a:ext uri="{FF2B5EF4-FFF2-40B4-BE49-F238E27FC236}">
                  <a16:creationId xmlns:a16="http://schemas.microsoft.com/office/drawing/2014/main" id="{78C215D6-AC2A-4D4A-A902-0A51D149C95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28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8">
          <xdr14:nvContentPartPr>
            <xdr14:cNvPr id="7" name="Entrada de lápiz 6">
              <a:extLst>
                <a:ext uri="{FF2B5EF4-FFF2-40B4-BE49-F238E27FC236}">
                  <a16:creationId xmlns:a16="http://schemas.microsoft.com/office/drawing/2014/main" id="{87C2B419-C1D6-41E9-B210-86E44465817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9">
          <xdr14:nvContentPartPr>
            <xdr14:cNvPr id="8" name="Entrada de lápiz 7">
              <a:extLst>
                <a:ext uri="{FF2B5EF4-FFF2-40B4-BE49-F238E27FC236}">
                  <a16:creationId xmlns:a16="http://schemas.microsoft.com/office/drawing/2014/main" id="{0AF37823-B3C3-4185-87AD-42F9083AE1A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30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0">
          <xdr14:nvContentPartPr>
            <xdr14:cNvPr id="9" name="Entrada de lápiz 8">
              <a:extLst>
                <a:ext uri="{FF2B5EF4-FFF2-40B4-BE49-F238E27FC236}">
                  <a16:creationId xmlns:a16="http://schemas.microsoft.com/office/drawing/2014/main" id="{B9F5AE26-A4BF-49B5-8917-8744FFE99C5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31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1">
          <xdr14:nvContentPartPr>
            <xdr14:cNvPr id="10" name="Entrada de lápiz 9">
              <a:extLst>
                <a:ext uri="{FF2B5EF4-FFF2-40B4-BE49-F238E27FC236}">
                  <a16:creationId xmlns:a16="http://schemas.microsoft.com/office/drawing/2014/main" id="{AE74C296-0FCB-4B97-A925-E5C8AC74F2A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32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2">
          <xdr14:nvContentPartPr>
            <xdr14:cNvPr id="11" name="Entrada de lápiz 10">
              <a:extLst>
                <a:ext uri="{FF2B5EF4-FFF2-40B4-BE49-F238E27FC236}">
                  <a16:creationId xmlns:a16="http://schemas.microsoft.com/office/drawing/2014/main" id="{5A271D67-B6F5-4E22-8347-EE76E943323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33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3">
          <xdr14:nvContentPartPr>
            <xdr14:cNvPr id="12" name="Entrada de lápiz 11">
              <a:extLst>
                <a:ext uri="{FF2B5EF4-FFF2-40B4-BE49-F238E27FC236}">
                  <a16:creationId xmlns:a16="http://schemas.microsoft.com/office/drawing/2014/main" id="{477F93D9-9F04-4C2A-87FF-3ABAED28823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4">
          <xdr14:nvContentPartPr>
            <xdr14:cNvPr id="13" name="Entrada de lápiz 12">
              <a:extLst>
                <a:ext uri="{FF2B5EF4-FFF2-40B4-BE49-F238E27FC236}">
                  <a16:creationId xmlns:a16="http://schemas.microsoft.com/office/drawing/2014/main" id="{FE9CFCA1-A13D-4984-834D-173E958F602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5">
          <xdr14:nvContentPartPr>
            <xdr14:cNvPr id="14" name="Entrada de lápiz 13">
              <a:extLst>
                <a:ext uri="{FF2B5EF4-FFF2-40B4-BE49-F238E27FC236}">
                  <a16:creationId xmlns:a16="http://schemas.microsoft.com/office/drawing/2014/main" id="{0A9FE8D1-5B3C-4C22-80C8-B3AB454BA0B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6">
          <xdr14:nvContentPartPr>
            <xdr14:cNvPr id="15" name="Entrada de lápiz 14">
              <a:extLst>
                <a:ext uri="{FF2B5EF4-FFF2-40B4-BE49-F238E27FC236}">
                  <a16:creationId xmlns:a16="http://schemas.microsoft.com/office/drawing/2014/main" id="{2C6820AB-EFFD-49D4-8372-FCB6B84B826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7">
          <xdr14:nvContentPartPr>
            <xdr14:cNvPr id="16" name="Entrada de lápiz 15">
              <a:extLst>
                <a:ext uri="{FF2B5EF4-FFF2-40B4-BE49-F238E27FC236}">
                  <a16:creationId xmlns:a16="http://schemas.microsoft.com/office/drawing/2014/main" id="{E46C1E6F-537F-4CB5-A8A5-1DC09597DA4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8">
          <xdr14:nvContentPartPr>
            <xdr14:cNvPr id="17" name="Entrada de lápiz 16">
              <a:extLst>
                <a:ext uri="{FF2B5EF4-FFF2-40B4-BE49-F238E27FC236}">
                  <a16:creationId xmlns:a16="http://schemas.microsoft.com/office/drawing/2014/main" id="{9B8CAACE-74C4-4F07-8F9E-E22BD9EDA36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9">
          <xdr14:nvContentPartPr>
            <xdr14:cNvPr id="18" name="Entrada de lápiz 17">
              <a:extLst>
                <a:ext uri="{FF2B5EF4-FFF2-40B4-BE49-F238E27FC236}">
                  <a16:creationId xmlns:a16="http://schemas.microsoft.com/office/drawing/2014/main" id="{BE12CB31-EF78-44ED-B15F-6F2FF414DAC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0">
          <xdr14:nvContentPartPr>
            <xdr14:cNvPr id="19" name="Entrada de lápiz 18">
              <a:extLst>
                <a:ext uri="{FF2B5EF4-FFF2-40B4-BE49-F238E27FC236}">
                  <a16:creationId xmlns:a16="http://schemas.microsoft.com/office/drawing/2014/main" id="{B1D3583B-6351-45EB-9CDA-7734179A94C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1">
          <xdr14:nvContentPartPr>
            <xdr14:cNvPr id="20" name="Entrada de lápiz 19">
              <a:extLst>
                <a:ext uri="{FF2B5EF4-FFF2-40B4-BE49-F238E27FC236}">
                  <a16:creationId xmlns:a16="http://schemas.microsoft.com/office/drawing/2014/main" id="{5CDA2937-CAB1-45FF-91A0-72E83C7B134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2">
          <xdr14:nvContentPartPr>
            <xdr14:cNvPr id="21" name="Entrada de lápiz 20">
              <a:extLst>
                <a:ext uri="{FF2B5EF4-FFF2-40B4-BE49-F238E27FC236}">
                  <a16:creationId xmlns:a16="http://schemas.microsoft.com/office/drawing/2014/main" id="{8FFD127E-7C6C-47F9-B405-DE761773665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3">
          <xdr14:nvContentPartPr>
            <xdr14:cNvPr id="22" name="Entrada de lápiz 21">
              <a:extLst>
                <a:ext uri="{FF2B5EF4-FFF2-40B4-BE49-F238E27FC236}">
                  <a16:creationId xmlns:a16="http://schemas.microsoft.com/office/drawing/2014/main" id="{B21D9644-31FF-4876-A41C-E874DAB3208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4">
          <xdr14:nvContentPartPr>
            <xdr14:cNvPr id="23" name="Entrada de lápiz 22">
              <a:extLst>
                <a:ext uri="{FF2B5EF4-FFF2-40B4-BE49-F238E27FC236}">
                  <a16:creationId xmlns:a16="http://schemas.microsoft.com/office/drawing/2014/main" id="{C0FEE25C-2EA4-401D-BFC8-B7EFF0BD6B5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30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5">
          <xdr14:nvContentPartPr>
            <xdr14:cNvPr id="24" name="Entrada de lápiz 23">
              <a:extLst>
                <a:ext uri="{FF2B5EF4-FFF2-40B4-BE49-F238E27FC236}">
                  <a16:creationId xmlns:a16="http://schemas.microsoft.com/office/drawing/2014/main" id="{4D78C904-BDFA-4806-B84F-43D6BA996C1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6">
          <xdr14:nvContentPartPr>
            <xdr14:cNvPr id="25" name="Entrada de lápiz 24">
              <a:extLst>
                <a:ext uri="{FF2B5EF4-FFF2-40B4-BE49-F238E27FC236}">
                  <a16:creationId xmlns:a16="http://schemas.microsoft.com/office/drawing/2014/main" id="{252A235B-D136-4331-B569-8C0D6809319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7">
          <xdr14:nvContentPartPr>
            <xdr14:cNvPr id="26" name="Entrada de lápiz 25">
              <a:extLst>
                <a:ext uri="{FF2B5EF4-FFF2-40B4-BE49-F238E27FC236}">
                  <a16:creationId xmlns:a16="http://schemas.microsoft.com/office/drawing/2014/main" id="{AC9A8C7F-76C1-4B95-B216-DE3A191B496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8">
          <xdr14:nvContentPartPr>
            <xdr14:cNvPr id="27" name="Entrada de lápiz 26">
              <a:extLst>
                <a:ext uri="{FF2B5EF4-FFF2-40B4-BE49-F238E27FC236}">
                  <a16:creationId xmlns:a16="http://schemas.microsoft.com/office/drawing/2014/main" id="{665BA938-521C-4211-BFDA-5CF3B07DEEE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9">
          <xdr14:nvContentPartPr>
            <xdr14:cNvPr id="28" name="Entrada de lápiz 27">
              <a:extLst>
                <a:ext uri="{FF2B5EF4-FFF2-40B4-BE49-F238E27FC236}">
                  <a16:creationId xmlns:a16="http://schemas.microsoft.com/office/drawing/2014/main" id="{72FDD153-4341-4C82-9426-241E63D70EF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0">
          <xdr14:nvContentPartPr>
            <xdr14:cNvPr id="29" name="Entrada de lápiz 28">
              <a:extLst>
                <a:ext uri="{FF2B5EF4-FFF2-40B4-BE49-F238E27FC236}">
                  <a16:creationId xmlns:a16="http://schemas.microsoft.com/office/drawing/2014/main" id="{962879CD-F757-4389-B647-520CA87B04F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1">
          <xdr14:nvContentPartPr>
            <xdr14:cNvPr id="30" name="Entrada de lápiz 29">
              <a:extLst>
                <a:ext uri="{FF2B5EF4-FFF2-40B4-BE49-F238E27FC236}">
                  <a16:creationId xmlns:a16="http://schemas.microsoft.com/office/drawing/2014/main" id="{B80DB32B-ADBF-4E51-B46C-9D716D3B069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2">
          <xdr14:nvContentPartPr>
            <xdr14:cNvPr id="31" name="Entrada de lápiz 30">
              <a:extLst>
                <a:ext uri="{FF2B5EF4-FFF2-40B4-BE49-F238E27FC236}">
                  <a16:creationId xmlns:a16="http://schemas.microsoft.com/office/drawing/2014/main" id="{AD45D2B3-F880-4A8C-9FBC-401BC4A92A9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3">
          <xdr14:nvContentPartPr>
            <xdr14:cNvPr id="32" name="Entrada de lápiz 31">
              <a:extLst>
                <a:ext uri="{FF2B5EF4-FFF2-40B4-BE49-F238E27FC236}">
                  <a16:creationId xmlns:a16="http://schemas.microsoft.com/office/drawing/2014/main" id="{3935169D-22BB-4480-8639-EB0463ACF57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4">
          <xdr14:nvContentPartPr>
            <xdr14:cNvPr id="33" name="Entrada de lápiz 32">
              <a:extLst>
                <a:ext uri="{FF2B5EF4-FFF2-40B4-BE49-F238E27FC236}">
                  <a16:creationId xmlns:a16="http://schemas.microsoft.com/office/drawing/2014/main" id="{0A75723B-7712-4D0C-8F9F-A1EC8923709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5">
          <xdr14:nvContentPartPr>
            <xdr14:cNvPr id="34" name="Entrada de lápiz 33">
              <a:extLst>
                <a:ext uri="{FF2B5EF4-FFF2-40B4-BE49-F238E27FC236}">
                  <a16:creationId xmlns:a16="http://schemas.microsoft.com/office/drawing/2014/main" id="{8FE68B9B-2073-4B75-89B1-A8633A6D7F7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6">
          <xdr14:nvContentPartPr>
            <xdr14:cNvPr id="35" name="Entrada de lápiz 34">
              <a:extLst>
                <a:ext uri="{FF2B5EF4-FFF2-40B4-BE49-F238E27FC236}">
                  <a16:creationId xmlns:a16="http://schemas.microsoft.com/office/drawing/2014/main" id="{BE6E9D45-1884-4CD1-A8E7-74DE4B058A7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7">
          <xdr14:nvContentPartPr>
            <xdr14:cNvPr id="36" name="Entrada de lápiz 35">
              <a:extLst>
                <a:ext uri="{FF2B5EF4-FFF2-40B4-BE49-F238E27FC236}">
                  <a16:creationId xmlns:a16="http://schemas.microsoft.com/office/drawing/2014/main" id="{45FED9AA-E02C-4BDA-84FE-8F7C78E1F9A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8">
          <xdr14:nvContentPartPr>
            <xdr14:cNvPr id="37" name="Entrada de lápiz 36">
              <a:extLst>
                <a:ext uri="{FF2B5EF4-FFF2-40B4-BE49-F238E27FC236}">
                  <a16:creationId xmlns:a16="http://schemas.microsoft.com/office/drawing/2014/main" id="{05B85835-49E0-47BB-92B5-7323F4DF762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9">
          <xdr14:nvContentPartPr>
            <xdr14:cNvPr id="38" name="Entrada de lápiz 37">
              <a:extLst>
                <a:ext uri="{FF2B5EF4-FFF2-40B4-BE49-F238E27FC236}">
                  <a16:creationId xmlns:a16="http://schemas.microsoft.com/office/drawing/2014/main" id="{35F9545B-3F7F-47A6-8910-744BFF6C16B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0">
          <xdr14:nvContentPartPr>
            <xdr14:cNvPr id="39" name="Entrada de lápiz 38">
              <a:extLst>
                <a:ext uri="{FF2B5EF4-FFF2-40B4-BE49-F238E27FC236}">
                  <a16:creationId xmlns:a16="http://schemas.microsoft.com/office/drawing/2014/main" id="{35CDDB78-7308-453F-BCD9-154848E4ECE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1">
          <xdr14:nvContentPartPr>
            <xdr14:cNvPr id="40" name="Entrada de lápiz 39">
              <a:extLst>
                <a:ext uri="{FF2B5EF4-FFF2-40B4-BE49-F238E27FC236}">
                  <a16:creationId xmlns:a16="http://schemas.microsoft.com/office/drawing/2014/main" id="{A206F83C-1AAF-4BD5-B288-7EEB15E58B6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2">
          <xdr14:nvContentPartPr>
            <xdr14:cNvPr id="41" name="Entrada de lápiz 40">
              <a:extLst>
                <a:ext uri="{FF2B5EF4-FFF2-40B4-BE49-F238E27FC236}">
                  <a16:creationId xmlns:a16="http://schemas.microsoft.com/office/drawing/2014/main" id="{4E8F59BF-3E2B-4CAC-8269-D45BD0DB105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3">
          <xdr14:nvContentPartPr>
            <xdr14:cNvPr id="42" name="Entrada de lápiz 41">
              <a:extLst>
                <a:ext uri="{FF2B5EF4-FFF2-40B4-BE49-F238E27FC236}">
                  <a16:creationId xmlns:a16="http://schemas.microsoft.com/office/drawing/2014/main" id="{495001CC-83F2-4EB4-9659-4F3669AD314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4">
          <xdr14:nvContentPartPr>
            <xdr14:cNvPr id="43" name="Entrada de lápiz 42">
              <a:extLst>
                <a:ext uri="{FF2B5EF4-FFF2-40B4-BE49-F238E27FC236}">
                  <a16:creationId xmlns:a16="http://schemas.microsoft.com/office/drawing/2014/main" id="{289D9958-04A1-4DD0-BBB4-212AAF9BC09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5">
          <xdr14:nvContentPartPr>
            <xdr14:cNvPr id="44" name="Entrada de lápiz 43">
              <a:extLst>
                <a:ext uri="{FF2B5EF4-FFF2-40B4-BE49-F238E27FC236}">
                  <a16:creationId xmlns:a16="http://schemas.microsoft.com/office/drawing/2014/main" id="{055B008D-2C67-456A-BEE2-594F55B4D22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6">
          <xdr14:nvContentPartPr>
            <xdr14:cNvPr id="45" name="Entrada de lápiz 44">
              <a:extLst>
                <a:ext uri="{FF2B5EF4-FFF2-40B4-BE49-F238E27FC236}">
                  <a16:creationId xmlns:a16="http://schemas.microsoft.com/office/drawing/2014/main" id="{4C032DE2-2D52-4A11-9E9A-3C9C80DE9D4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7">
          <xdr14:nvContentPartPr>
            <xdr14:cNvPr id="46" name="Entrada de lápiz 45">
              <a:extLst>
                <a:ext uri="{FF2B5EF4-FFF2-40B4-BE49-F238E27FC236}">
                  <a16:creationId xmlns:a16="http://schemas.microsoft.com/office/drawing/2014/main" id="{9F507AA5-E512-4782-A7F3-E06894F3DDD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8">
          <xdr14:nvContentPartPr>
            <xdr14:cNvPr id="47" name="Entrada de lápiz 46">
              <a:extLst>
                <a:ext uri="{FF2B5EF4-FFF2-40B4-BE49-F238E27FC236}">
                  <a16:creationId xmlns:a16="http://schemas.microsoft.com/office/drawing/2014/main" id="{74081989-1ED5-4ABC-99FB-1B7541A2FF4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9">
          <xdr14:nvContentPartPr>
            <xdr14:cNvPr id="48" name="Entrada de lápiz 47">
              <a:extLst>
                <a:ext uri="{FF2B5EF4-FFF2-40B4-BE49-F238E27FC236}">
                  <a16:creationId xmlns:a16="http://schemas.microsoft.com/office/drawing/2014/main" id="{E77D72C8-A0E8-4F6A-80FF-C45A2DA1C1B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0">
          <xdr14:nvContentPartPr>
            <xdr14:cNvPr id="49" name="Entrada de lápiz 48">
              <a:extLst>
                <a:ext uri="{FF2B5EF4-FFF2-40B4-BE49-F238E27FC236}">
                  <a16:creationId xmlns:a16="http://schemas.microsoft.com/office/drawing/2014/main" id="{79547F34-DE73-4D1F-B96E-85FF168D689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1">
          <xdr14:nvContentPartPr>
            <xdr14:cNvPr id="50" name="Entrada de lápiz 49">
              <a:extLst>
                <a:ext uri="{FF2B5EF4-FFF2-40B4-BE49-F238E27FC236}">
                  <a16:creationId xmlns:a16="http://schemas.microsoft.com/office/drawing/2014/main" id="{540542FE-2154-4807-89A5-881872510FD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2">
          <xdr14:nvContentPartPr>
            <xdr14:cNvPr id="51" name="Entrada de lápiz 50">
              <a:extLst>
                <a:ext uri="{FF2B5EF4-FFF2-40B4-BE49-F238E27FC236}">
                  <a16:creationId xmlns:a16="http://schemas.microsoft.com/office/drawing/2014/main" id="{24E3EE17-1717-4801-B5E6-2A45E31F7C8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3">
          <xdr14:nvContentPartPr>
            <xdr14:cNvPr id="52" name="Entrada de lápiz 51">
              <a:extLst>
                <a:ext uri="{FF2B5EF4-FFF2-40B4-BE49-F238E27FC236}">
                  <a16:creationId xmlns:a16="http://schemas.microsoft.com/office/drawing/2014/main" id="{0D9775DA-0CB4-4C52-AF1E-CAC6BDB5C6F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4">
          <xdr14:nvContentPartPr>
            <xdr14:cNvPr id="53" name="Entrada de lápiz 52">
              <a:extLst>
                <a:ext uri="{FF2B5EF4-FFF2-40B4-BE49-F238E27FC236}">
                  <a16:creationId xmlns:a16="http://schemas.microsoft.com/office/drawing/2014/main" id="{A346BE64-EB9C-48A3-9391-3ED34FDE969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5">
          <xdr14:nvContentPartPr>
            <xdr14:cNvPr id="54" name="Entrada de lápiz 53">
              <a:extLst>
                <a:ext uri="{FF2B5EF4-FFF2-40B4-BE49-F238E27FC236}">
                  <a16:creationId xmlns:a16="http://schemas.microsoft.com/office/drawing/2014/main" id="{D2595F28-E030-4599-8F1B-C59DAEF3B34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6">
          <xdr14:nvContentPartPr>
            <xdr14:cNvPr id="55" name="Entrada de lápiz 54">
              <a:extLst>
                <a:ext uri="{FF2B5EF4-FFF2-40B4-BE49-F238E27FC236}">
                  <a16:creationId xmlns:a16="http://schemas.microsoft.com/office/drawing/2014/main" id="{E7BECDFA-ECA1-436B-801A-DEC0C947BD4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7">
          <xdr14:nvContentPartPr>
            <xdr14:cNvPr id="56" name="Entrada de lápiz 55">
              <a:extLst>
                <a:ext uri="{FF2B5EF4-FFF2-40B4-BE49-F238E27FC236}">
                  <a16:creationId xmlns:a16="http://schemas.microsoft.com/office/drawing/2014/main" id="{4ABA9320-A1E6-432D-9234-C6C37CF1AC5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8">
          <xdr14:nvContentPartPr>
            <xdr14:cNvPr id="57" name="Entrada de lápiz 56">
              <a:extLst>
                <a:ext uri="{FF2B5EF4-FFF2-40B4-BE49-F238E27FC236}">
                  <a16:creationId xmlns:a16="http://schemas.microsoft.com/office/drawing/2014/main" id="{44D0A128-2D02-4E3D-91F4-41396BF6BB0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9">
          <xdr14:nvContentPartPr>
            <xdr14:cNvPr id="58" name="Entrada de lápiz 57">
              <a:extLst>
                <a:ext uri="{FF2B5EF4-FFF2-40B4-BE49-F238E27FC236}">
                  <a16:creationId xmlns:a16="http://schemas.microsoft.com/office/drawing/2014/main" id="{500DAEFA-1473-42FC-AFDD-AC261716B8D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0">
          <xdr14:nvContentPartPr>
            <xdr14:cNvPr id="59" name="Entrada de lápiz 58">
              <a:extLst>
                <a:ext uri="{FF2B5EF4-FFF2-40B4-BE49-F238E27FC236}">
                  <a16:creationId xmlns:a16="http://schemas.microsoft.com/office/drawing/2014/main" id="{A542C910-7E50-40E1-AA5B-8FF5AF4FEA6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1">
          <xdr14:nvContentPartPr>
            <xdr14:cNvPr id="60" name="Entrada de lápiz 59">
              <a:extLst>
                <a:ext uri="{FF2B5EF4-FFF2-40B4-BE49-F238E27FC236}">
                  <a16:creationId xmlns:a16="http://schemas.microsoft.com/office/drawing/2014/main" id="{FF42BA76-93A7-41CB-950A-FE580A27CEB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2">
          <xdr14:nvContentPartPr>
            <xdr14:cNvPr id="61" name="Entrada de lápiz 60">
              <a:extLst>
                <a:ext uri="{FF2B5EF4-FFF2-40B4-BE49-F238E27FC236}">
                  <a16:creationId xmlns:a16="http://schemas.microsoft.com/office/drawing/2014/main" id="{DDA0E9A3-BCF8-4BC7-9BD4-E0C6280636D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3">
          <xdr14:nvContentPartPr>
            <xdr14:cNvPr id="62" name="Entrada de lápiz 61">
              <a:extLst>
                <a:ext uri="{FF2B5EF4-FFF2-40B4-BE49-F238E27FC236}">
                  <a16:creationId xmlns:a16="http://schemas.microsoft.com/office/drawing/2014/main" id="{C771384E-54EB-4181-BC09-681FAAB8992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4">
          <xdr14:nvContentPartPr>
            <xdr14:cNvPr id="63" name="Entrada de lápiz 62">
              <a:extLst>
                <a:ext uri="{FF2B5EF4-FFF2-40B4-BE49-F238E27FC236}">
                  <a16:creationId xmlns:a16="http://schemas.microsoft.com/office/drawing/2014/main" id="{D8D3786D-B168-4E2B-9633-9F00DA193E4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5">
          <xdr14:nvContentPartPr>
            <xdr14:cNvPr id="64" name="Entrada de lápiz 63">
              <a:extLst>
                <a:ext uri="{FF2B5EF4-FFF2-40B4-BE49-F238E27FC236}">
                  <a16:creationId xmlns:a16="http://schemas.microsoft.com/office/drawing/2014/main" id="{463016EA-DC54-4126-9C72-01DC46D49FA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6">
          <xdr14:nvContentPartPr>
            <xdr14:cNvPr id="65" name="Entrada de lápiz 64">
              <a:extLst>
                <a:ext uri="{FF2B5EF4-FFF2-40B4-BE49-F238E27FC236}">
                  <a16:creationId xmlns:a16="http://schemas.microsoft.com/office/drawing/2014/main" id="{2A35DFA3-AE63-4477-A930-960D4E319AA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7">
          <xdr14:nvContentPartPr>
            <xdr14:cNvPr id="66" name="Entrada de lápiz 65">
              <a:extLst>
                <a:ext uri="{FF2B5EF4-FFF2-40B4-BE49-F238E27FC236}">
                  <a16:creationId xmlns:a16="http://schemas.microsoft.com/office/drawing/2014/main" id="{DF6F9E14-953E-45B9-A3D8-939C0020087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8">
          <xdr14:nvContentPartPr>
            <xdr14:cNvPr id="67" name="Entrada de lápiz 66">
              <a:extLst>
                <a:ext uri="{FF2B5EF4-FFF2-40B4-BE49-F238E27FC236}">
                  <a16:creationId xmlns:a16="http://schemas.microsoft.com/office/drawing/2014/main" id="{8049560C-955F-4BB3-8B6D-FCABF22DC52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9">
          <xdr14:nvContentPartPr>
            <xdr14:cNvPr id="68" name="Entrada de lápiz 67">
              <a:extLst>
                <a:ext uri="{FF2B5EF4-FFF2-40B4-BE49-F238E27FC236}">
                  <a16:creationId xmlns:a16="http://schemas.microsoft.com/office/drawing/2014/main" id="{214739E5-BC48-4E44-B714-5C7ABD698B4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0">
          <xdr14:nvContentPartPr>
            <xdr14:cNvPr id="69" name="Entrada de lápiz 68">
              <a:extLst>
                <a:ext uri="{FF2B5EF4-FFF2-40B4-BE49-F238E27FC236}">
                  <a16:creationId xmlns:a16="http://schemas.microsoft.com/office/drawing/2014/main" id="{D72D8ED6-603B-4B7E-82C2-AD91AE1E3D9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1">
          <xdr14:nvContentPartPr>
            <xdr14:cNvPr id="70" name="Entrada de lápiz 69">
              <a:extLst>
                <a:ext uri="{FF2B5EF4-FFF2-40B4-BE49-F238E27FC236}">
                  <a16:creationId xmlns:a16="http://schemas.microsoft.com/office/drawing/2014/main" id="{E1418A89-4D2B-409C-8F2D-987083D2C85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2">
          <xdr14:nvContentPartPr>
            <xdr14:cNvPr id="71" name="Entrada de lápiz 70">
              <a:extLst>
                <a:ext uri="{FF2B5EF4-FFF2-40B4-BE49-F238E27FC236}">
                  <a16:creationId xmlns:a16="http://schemas.microsoft.com/office/drawing/2014/main" id="{4210BBA3-88F3-4E80-87DF-2E09DB942C2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3">
          <xdr14:nvContentPartPr>
            <xdr14:cNvPr id="72" name="Entrada de lápiz 71">
              <a:extLst>
                <a:ext uri="{FF2B5EF4-FFF2-40B4-BE49-F238E27FC236}">
                  <a16:creationId xmlns:a16="http://schemas.microsoft.com/office/drawing/2014/main" id="{7243893D-57AC-49E1-8C24-836DFCC88D3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4">
          <xdr14:nvContentPartPr>
            <xdr14:cNvPr id="73" name="Entrada de lápiz 72">
              <a:extLst>
                <a:ext uri="{FF2B5EF4-FFF2-40B4-BE49-F238E27FC236}">
                  <a16:creationId xmlns:a16="http://schemas.microsoft.com/office/drawing/2014/main" id="{7DCDF2D8-9D37-43C9-95D1-39110ADA0D2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5">
          <xdr14:nvContentPartPr>
            <xdr14:cNvPr id="74" name="Entrada de lápiz 73">
              <a:extLst>
                <a:ext uri="{FF2B5EF4-FFF2-40B4-BE49-F238E27FC236}">
                  <a16:creationId xmlns:a16="http://schemas.microsoft.com/office/drawing/2014/main" id="{80F513B6-3FC0-4B85-B8D8-4BA584970E2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6">
          <xdr14:nvContentPartPr>
            <xdr14:cNvPr id="75" name="Entrada de lápiz 74">
              <a:extLst>
                <a:ext uri="{FF2B5EF4-FFF2-40B4-BE49-F238E27FC236}">
                  <a16:creationId xmlns:a16="http://schemas.microsoft.com/office/drawing/2014/main" id="{E7C6F3BE-D617-4BBB-8B54-25CBF12B509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7">
          <xdr14:nvContentPartPr>
            <xdr14:cNvPr id="76" name="Entrada de lápiz 75">
              <a:extLst>
                <a:ext uri="{FF2B5EF4-FFF2-40B4-BE49-F238E27FC236}">
                  <a16:creationId xmlns:a16="http://schemas.microsoft.com/office/drawing/2014/main" id="{7D6AFCB2-6E4B-4730-88F8-CDEFE65D09B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8">
          <xdr14:nvContentPartPr>
            <xdr14:cNvPr id="77" name="Entrada de lápiz 76">
              <a:extLst>
                <a:ext uri="{FF2B5EF4-FFF2-40B4-BE49-F238E27FC236}">
                  <a16:creationId xmlns:a16="http://schemas.microsoft.com/office/drawing/2014/main" id="{B72F7E9B-F2C1-455F-AD22-FA7EF0911E7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9">
          <xdr14:nvContentPartPr>
            <xdr14:cNvPr id="78" name="Entrada de lápiz 77">
              <a:extLst>
                <a:ext uri="{FF2B5EF4-FFF2-40B4-BE49-F238E27FC236}">
                  <a16:creationId xmlns:a16="http://schemas.microsoft.com/office/drawing/2014/main" id="{AE7DDBAE-2E0E-4F1C-A7AC-19F8637743E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0">
          <xdr14:nvContentPartPr>
            <xdr14:cNvPr id="79" name="Entrada de lápiz 78">
              <a:extLst>
                <a:ext uri="{FF2B5EF4-FFF2-40B4-BE49-F238E27FC236}">
                  <a16:creationId xmlns:a16="http://schemas.microsoft.com/office/drawing/2014/main" id="{4C965346-D196-4E7F-B132-A4E6C087EA0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1">
          <xdr14:nvContentPartPr>
            <xdr14:cNvPr id="80" name="Entrada de lápiz 79">
              <a:extLst>
                <a:ext uri="{FF2B5EF4-FFF2-40B4-BE49-F238E27FC236}">
                  <a16:creationId xmlns:a16="http://schemas.microsoft.com/office/drawing/2014/main" id="{33533999-1D33-4446-9301-CBDE2D299C1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2">
          <xdr14:nvContentPartPr>
            <xdr14:cNvPr id="81" name="Entrada de lápiz 80">
              <a:extLst>
                <a:ext uri="{FF2B5EF4-FFF2-40B4-BE49-F238E27FC236}">
                  <a16:creationId xmlns:a16="http://schemas.microsoft.com/office/drawing/2014/main" id="{101B909E-A5F6-4439-A59C-9E2D3181874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3">
          <xdr14:nvContentPartPr>
            <xdr14:cNvPr id="82" name="Entrada de lápiz 81">
              <a:extLst>
                <a:ext uri="{FF2B5EF4-FFF2-40B4-BE49-F238E27FC236}">
                  <a16:creationId xmlns:a16="http://schemas.microsoft.com/office/drawing/2014/main" id="{04A60FF4-8435-4631-AC8C-588D308BD6E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4">
          <xdr14:nvContentPartPr>
            <xdr14:cNvPr id="83" name="Entrada de lápiz 82">
              <a:extLst>
                <a:ext uri="{FF2B5EF4-FFF2-40B4-BE49-F238E27FC236}">
                  <a16:creationId xmlns:a16="http://schemas.microsoft.com/office/drawing/2014/main" id="{05C00BF9-4A2D-4818-829E-7F5CE09341A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5">
          <xdr14:nvContentPartPr>
            <xdr14:cNvPr id="84" name="Entrada de lápiz 83">
              <a:extLst>
                <a:ext uri="{FF2B5EF4-FFF2-40B4-BE49-F238E27FC236}">
                  <a16:creationId xmlns:a16="http://schemas.microsoft.com/office/drawing/2014/main" id="{18B76C54-3D2C-4D71-9A60-72938B84C6A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6">
          <xdr14:nvContentPartPr>
            <xdr14:cNvPr id="85" name="Entrada de lápiz 84">
              <a:extLst>
                <a:ext uri="{FF2B5EF4-FFF2-40B4-BE49-F238E27FC236}">
                  <a16:creationId xmlns:a16="http://schemas.microsoft.com/office/drawing/2014/main" id="{9AA927FD-FDEE-4DE6-B505-3D894273FDA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7">
          <xdr14:nvContentPartPr>
            <xdr14:cNvPr id="86" name="Entrada de lápiz 85">
              <a:extLst>
                <a:ext uri="{FF2B5EF4-FFF2-40B4-BE49-F238E27FC236}">
                  <a16:creationId xmlns:a16="http://schemas.microsoft.com/office/drawing/2014/main" id="{7CEF6321-8694-4393-8F9E-43F231EE398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8">
          <xdr14:nvContentPartPr>
            <xdr14:cNvPr id="87" name="Entrada de lápiz 86">
              <a:extLst>
                <a:ext uri="{FF2B5EF4-FFF2-40B4-BE49-F238E27FC236}">
                  <a16:creationId xmlns:a16="http://schemas.microsoft.com/office/drawing/2014/main" id="{358AFF97-1372-4154-AF2A-078AA149354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9">
          <xdr14:nvContentPartPr>
            <xdr14:cNvPr id="88" name="Entrada de lápiz 87">
              <a:extLst>
                <a:ext uri="{FF2B5EF4-FFF2-40B4-BE49-F238E27FC236}">
                  <a16:creationId xmlns:a16="http://schemas.microsoft.com/office/drawing/2014/main" id="{0997A6A7-8457-4CFB-A942-EEC3BAADF37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0">
          <xdr14:nvContentPartPr>
            <xdr14:cNvPr id="89" name="Entrada de lápiz 88">
              <a:extLst>
                <a:ext uri="{FF2B5EF4-FFF2-40B4-BE49-F238E27FC236}">
                  <a16:creationId xmlns:a16="http://schemas.microsoft.com/office/drawing/2014/main" id="{F435830F-0E05-4B72-89D5-FEAB8346741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1">
          <xdr14:nvContentPartPr>
            <xdr14:cNvPr id="90" name="Entrada de lápiz 89">
              <a:extLst>
                <a:ext uri="{FF2B5EF4-FFF2-40B4-BE49-F238E27FC236}">
                  <a16:creationId xmlns:a16="http://schemas.microsoft.com/office/drawing/2014/main" id="{172E0000-84EA-458B-8EC6-90ADE3F1438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2">
          <xdr14:nvContentPartPr>
            <xdr14:cNvPr id="91" name="Entrada de lápiz 90">
              <a:extLst>
                <a:ext uri="{FF2B5EF4-FFF2-40B4-BE49-F238E27FC236}">
                  <a16:creationId xmlns:a16="http://schemas.microsoft.com/office/drawing/2014/main" id="{A644786F-9DAA-4B4C-B527-B2D3C25936A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3">
          <xdr14:nvContentPartPr>
            <xdr14:cNvPr id="92" name="Entrada de lápiz 91">
              <a:extLst>
                <a:ext uri="{FF2B5EF4-FFF2-40B4-BE49-F238E27FC236}">
                  <a16:creationId xmlns:a16="http://schemas.microsoft.com/office/drawing/2014/main" id="{334F9AA3-3FFC-4399-9CB9-1B57746B458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4">
          <xdr14:nvContentPartPr>
            <xdr14:cNvPr id="93" name="Entrada de lápiz 92">
              <a:extLst>
                <a:ext uri="{FF2B5EF4-FFF2-40B4-BE49-F238E27FC236}">
                  <a16:creationId xmlns:a16="http://schemas.microsoft.com/office/drawing/2014/main" id="{D4A9806F-7A95-4A05-B2E9-7B28CC10E1C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5">
          <xdr14:nvContentPartPr>
            <xdr14:cNvPr id="94" name="Entrada de lápiz 93">
              <a:extLst>
                <a:ext uri="{FF2B5EF4-FFF2-40B4-BE49-F238E27FC236}">
                  <a16:creationId xmlns:a16="http://schemas.microsoft.com/office/drawing/2014/main" id="{4A906A94-AB7A-4407-94A2-FB8D4FFF20D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6">
          <xdr14:nvContentPartPr>
            <xdr14:cNvPr id="95" name="Entrada de lápiz 94">
              <a:extLst>
                <a:ext uri="{FF2B5EF4-FFF2-40B4-BE49-F238E27FC236}">
                  <a16:creationId xmlns:a16="http://schemas.microsoft.com/office/drawing/2014/main" id="{348B22BA-162F-48E3-9FAB-25A885B8013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7">
          <xdr14:nvContentPartPr>
            <xdr14:cNvPr id="96" name="Entrada de lápiz 95">
              <a:extLst>
                <a:ext uri="{FF2B5EF4-FFF2-40B4-BE49-F238E27FC236}">
                  <a16:creationId xmlns:a16="http://schemas.microsoft.com/office/drawing/2014/main" id="{161F24E8-BE7C-4895-89BD-C8B063D2757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8">
          <xdr14:nvContentPartPr>
            <xdr14:cNvPr id="97" name="Entrada de lápiz 96">
              <a:extLst>
                <a:ext uri="{FF2B5EF4-FFF2-40B4-BE49-F238E27FC236}">
                  <a16:creationId xmlns:a16="http://schemas.microsoft.com/office/drawing/2014/main" id="{ECFFE3A7-6434-4122-AE97-24E8C6E5228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9">
          <xdr14:nvContentPartPr>
            <xdr14:cNvPr id="98" name="Entrada de lápiz 97">
              <a:extLst>
                <a:ext uri="{FF2B5EF4-FFF2-40B4-BE49-F238E27FC236}">
                  <a16:creationId xmlns:a16="http://schemas.microsoft.com/office/drawing/2014/main" id="{2F7EDE11-AE3E-4E5D-87FB-BB37022AB80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0">
          <xdr14:nvContentPartPr>
            <xdr14:cNvPr id="99" name="Entrada de lápiz 98">
              <a:extLst>
                <a:ext uri="{FF2B5EF4-FFF2-40B4-BE49-F238E27FC236}">
                  <a16:creationId xmlns:a16="http://schemas.microsoft.com/office/drawing/2014/main" id="{BE008429-E028-4B6E-9405-E0903BCA8A1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1">
          <xdr14:nvContentPartPr>
            <xdr14:cNvPr id="100" name="Entrada de lápiz 99">
              <a:extLst>
                <a:ext uri="{FF2B5EF4-FFF2-40B4-BE49-F238E27FC236}">
                  <a16:creationId xmlns:a16="http://schemas.microsoft.com/office/drawing/2014/main" id="{2D07BFA5-0267-4910-A6EA-747DA61A0D0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2">
          <xdr14:nvContentPartPr>
            <xdr14:cNvPr id="101" name="Entrada de lápiz 100">
              <a:extLst>
                <a:ext uri="{FF2B5EF4-FFF2-40B4-BE49-F238E27FC236}">
                  <a16:creationId xmlns:a16="http://schemas.microsoft.com/office/drawing/2014/main" id="{08B57AA8-D7EE-494A-8BF9-15CD0EF7F6D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3">
          <xdr14:nvContentPartPr>
            <xdr14:cNvPr id="102" name="Entrada de lápiz 101">
              <a:extLst>
                <a:ext uri="{FF2B5EF4-FFF2-40B4-BE49-F238E27FC236}">
                  <a16:creationId xmlns:a16="http://schemas.microsoft.com/office/drawing/2014/main" id="{E424C7F2-0C90-49E6-A015-4804ED50809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4">
          <xdr14:nvContentPartPr>
            <xdr14:cNvPr id="103" name="Entrada de lápiz 102">
              <a:extLst>
                <a:ext uri="{FF2B5EF4-FFF2-40B4-BE49-F238E27FC236}">
                  <a16:creationId xmlns:a16="http://schemas.microsoft.com/office/drawing/2014/main" id="{112B27B0-BA09-41BB-A2E7-9FD1C6AA9F4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5">
          <xdr14:nvContentPartPr>
            <xdr14:cNvPr id="104" name="Entrada de lápiz 103">
              <a:extLst>
                <a:ext uri="{FF2B5EF4-FFF2-40B4-BE49-F238E27FC236}">
                  <a16:creationId xmlns:a16="http://schemas.microsoft.com/office/drawing/2014/main" id="{C54FF7BE-8D76-4278-8D72-FC12EEEC7CE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6">
          <xdr14:nvContentPartPr>
            <xdr14:cNvPr id="105" name="Entrada de lápiz 104">
              <a:extLst>
                <a:ext uri="{FF2B5EF4-FFF2-40B4-BE49-F238E27FC236}">
                  <a16:creationId xmlns:a16="http://schemas.microsoft.com/office/drawing/2014/main" id="{241E3A22-4DB6-4BDB-A2EB-54602257A54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7">
          <xdr14:nvContentPartPr>
            <xdr14:cNvPr id="106" name="Entrada de lápiz 105">
              <a:extLst>
                <a:ext uri="{FF2B5EF4-FFF2-40B4-BE49-F238E27FC236}">
                  <a16:creationId xmlns:a16="http://schemas.microsoft.com/office/drawing/2014/main" id="{0F1977AA-3199-4C59-BF94-B7E8A24CD35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8">
          <xdr14:nvContentPartPr>
            <xdr14:cNvPr id="107" name="Entrada de lápiz 106">
              <a:extLst>
                <a:ext uri="{FF2B5EF4-FFF2-40B4-BE49-F238E27FC236}">
                  <a16:creationId xmlns:a16="http://schemas.microsoft.com/office/drawing/2014/main" id="{C64F1E11-8150-4201-8C96-25D05F1CDAB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9">
          <xdr14:nvContentPartPr>
            <xdr14:cNvPr id="108" name="Entrada de lápiz 107">
              <a:extLst>
                <a:ext uri="{FF2B5EF4-FFF2-40B4-BE49-F238E27FC236}">
                  <a16:creationId xmlns:a16="http://schemas.microsoft.com/office/drawing/2014/main" id="{68522CAF-7930-456D-9CB3-444BFE19AF1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0">
          <xdr14:nvContentPartPr>
            <xdr14:cNvPr id="109" name="Entrada de lápiz 108">
              <a:extLst>
                <a:ext uri="{FF2B5EF4-FFF2-40B4-BE49-F238E27FC236}">
                  <a16:creationId xmlns:a16="http://schemas.microsoft.com/office/drawing/2014/main" id="{6A8967CC-8470-459E-B122-3B0D3E1B132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1">
          <xdr14:nvContentPartPr>
            <xdr14:cNvPr id="110" name="Entrada de lápiz 109">
              <a:extLst>
                <a:ext uri="{FF2B5EF4-FFF2-40B4-BE49-F238E27FC236}">
                  <a16:creationId xmlns:a16="http://schemas.microsoft.com/office/drawing/2014/main" id="{6AEC29AB-385A-4C80-89BE-5245AE17821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2">
          <xdr14:nvContentPartPr>
            <xdr14:cNvPr id="111" name="Entrada de lápiz 110">
              <a:extLst>
                <a:ext uri="{FF2B5EF4-FFF2-40B4-BE49-F238E27FC236}">
                  <a16:creationId xmlns:a16="http://schemas.microsoft.com/office/drawing/2014/main" id="{62726BA5-7F92-4CEA-842E-865550E3C51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3">
          <xdr14:nvContentPartPr>
            <xdr14:cNvPr id="112" name="Entrada de lápiz 111">
              <a:extLst>
                <a:ext uri="{FF2B5EF4-FFF2-40B4-BE49-F238E27FC236}">
                  <a16:creationId xmlns:a16="http://schemas.microsoft.com/office/drawing/2014/main" id="{739121F4-463B-478A-BA25-EA2268A36A1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4">
          <xdr14:nvContentPartPr>
            <xdr14:cNvPr id="113" name="Entrada de lápiz 112">
              <a:extLst>
                <a:ext uri="{FF2B5EF4-FFF2-40B4-BE49-F238E27FC236}">
                  <a16:creationId xmlns:a16="http://schemas.microsoft.com/office/drawing/2014/main" id="{56626EB8-DF29-46B7-9D61-652D98DC4C9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5">
          <xdr14:nvContentPartPr>
            <xdr14:cNvPr id="114" name="Entrada de lápiz 113">
              <a:extLst>
                <a:ext uri="{FF2B5EF4-FFF2-40B4-BE49-F238E27FC236}">
                  <a16:creationId xmlns:a16="http://schemas.microsoft.com/office/drawing/2014/main" id="{749A8C1B-28A2-4D16-939E-C7F72A0CE06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6">
          <xdr14:nvContentPartPr>
            <xdr14:cNvPr id="115" name="Entrada de lápiz 114">
              <a:extLst>
                <a:ext uri="{FF2B5EF4-FFF2-40B4-BE49-F238E27FC236}">
                  <a16:creationId xmlns:a16="http://schemas.microsoft.com/office/drawing/2014/main" id="{710F2BF3-3D38-4E74-AF77-B6C19CF9B6C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7">
          <xdr14:nvContentPartPr>
            <xdr14:cNvPr id="116" name="Entrada de lápiz 115">
              <a:extLst>
                <a:ext uri="{FF2B5EF4-FFF2-40B4-BE49-F238E27FC236}">
                  <a16:creationId xmlns:a16="http://schemas.microsoft.com/office/drawing/2014/main" id="{25860D3D-0175-4C7A-93C1-375F123EE1D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8">
          <xdr14:nvContentPartPr>
            <xdr14:cNvPr id="117" name="Entrada de lápiz 116">
              <a:extLst>
                <a:ext uri="{FF2B5EF4-FFF2-40B4-BE49-F238E27FC236}">
                  <a16:creationId xmlns:a16="http://schemas.microsoft.com/office/drawing/2014/main" id="{54A1EA61-95B4-412A-9B60-E6174651582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9">
          <xdr14:nvContentPartPr>
            <xdr14:cNvPr id="118" name="Entrada de lápiz 117">
              <a:extLst>
                <a:ext uri="{FF2B5EF4-FFF2-40B4-BE49-F238E27FC236}">
                  <a16:creationId xmlns:a16="http://schemas.microsoft.com/office/drawing/2014/main" id="{921B2504-D732-494D-8330-0326C77A8C9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0">
          <xdr14:nvContentPartPr>
            <xdr14:cNvPr id="119" name="Entrada de lápiz 118">
              <a:extLst>
                <a:ext uri="{FF2B5EF4-FFF2-40B4-BE49-F238E27FC236}">
                  <a16:creationId xmlns:a16="http://schemas.microsoft.com/office/drawing/2014/main" id="{C0E342A2-664A-4C29-B9AC-DDA5ACB8B1F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1">
          <xdr14:nvContentPartPr>
            <xdr14:cNvPr id="120" name="Entrada de lápiz 119">
              <a:extLst>
                <a:ext uri="{FF2B5EF4-FFF2-40B4-BE49-F238E27FC236}">
                  <a16:creationId xmlns:a16="http://schemas.microsoft.com/office/drawing/2014/main" id="{0681A9AB-2231-4804-81E4-710936B4B9B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2">
          <xdr14:nvContentPartPr>
            <xdr14:cNvPr id="121" name="Entrada de lápiz 120">
              <a:extLst>
                <a:ext uri="{FF2B5EF4-FFF2-40B4-BE49-F238E27FC236}">
                  <a16:creationId xmlns:a16="http://schemas.microsoft.com/office/drawing/2014/main" id="{F4D41A23-C8B5-4987-A5A7-3FBC977A6A2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29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3">
          <xdr14:nvContentPartPr>
            <xdr14:cNvPr id="122" name="Entrada de lápiz 121">
              <a:extLst>
                <a:ext uri="{FF2B5EF4-FFF2-40B4-BE49-F238E27FC236}">
                  <a16:creationId xmlns:a16="http://schemas.microsoft.com/office/drawing/2014/main" id="{4D3FFD4C-FD37-4312-83B2-CD90FE4ED11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4">
          <xdr14:nvContentPartPr>
            <xdr14:cNvPr id="123" name="Entrada de lápiz 122">
              <a:extLst>
                <a:ext uri="{FF2B5EF4-FFF2-40B4-BE49-F238E27FC236}">
                  <a16:creationId xmlns:a16="http://schemas.microsoft.com/office/drawing/2014/main" id="{EC1B6F95-8CD0-402D-8A08-31416F2C8D6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5">
          <xdr14:nvContentPartPr>
            <xdr14:cNvPr id="124" name="Entrada de lápiz 123">
              <a:extLst>
                <a:ext uri="{FF2B5EF4-FFF2-40B4-BE49-F238E27FC236}">
                  <a16:creationId xmlns:a16="http://schemas.microsoft.com/office/drawing/2014/main" id="{73401EC3-DBA2-49A6-996D-F4EFFBF8C1C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6">
          <xdr14:nvContentPartPr>
            <xdr14:cNvPr id="125" name="Entrada de lápiz 124">
              <a:extLst>
                <a:ext uri="{FF2B5EF4-FFF2-40B4-BE49-F238E27FC236}">
                  <a16:creationId xmlns:a16="http://schemas.microsoft.com/office/drawing/2014/main" id="{A38BB4E1-1A82-41E1-8D02-660EA2ED7BA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7">
          <xdr14:nvContentPartPr>
            <xdr14:cNvPr id="126" name="Entrada de lápiz 125">
              <a:extLst>
                <a:ext uri="{FF2B5EF4-FFF2-40B4-BE49-F238E27FC236}">
                  <a16:creationId xmlns:a16="http://schemas.microsoft.com/office/drawing/2014/main" id="{BFD4A299-FFC6-42C8-AA6B-F413E7EB719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8">
          <xdr14:nvContentPartPr>
            <xdr14:cNvPr id="127" name="Entrada de lápiz 126">
              <a:extLst>
                <a:ext uri="{FF2B5EF4-FFF2-40B4-BE49-F238E27FC236}">
                  <a16:creationId xmlns:a16="http://schemas.microsoft.com/office/drawing/2014/main" id="{B49C0022-237A-46DD-87CB-5F5D194E8FD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9">
          <xdr14:nvContentPartPr>
            <xdr14:cNvPr id="128" name="Entrada de lápiz 127">
              <a:extLst>
                <a:ext uri="{FF2B5EF4-FFF2-40B4-BE49-F238E27FC236}">
                  <a16:creationId xmlns:a16="http://schemas.microsoft.com/office/drawing/2014/main" id="{59C52B7B-48F5-4FB4-B782-01F86C6849C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0">
          <xdr14:nvContentPartPr>
            <xdr14:cNvPr id="129" name="Entrada de lápiz 128">
              <a:extLst>
                <a:ext uri="{FF2B5EF4-FFF2-40B4-BE49-F238E27FC236}">
                  <a16:creationId xmlns:a16="http://schemas.microsoft.com/office/drawing/2014/main" id="{EC672C7E-8CFB-4E7D-B5B4-C267D8229C5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1">
          <xdr14:nvContentPartPr>
            <xdr14:cNvPr id="130" name="Entrada de lápiz 129">
              <a:extLst>
                <a:ext uri="{FF2B5EF4-FFF2-40B4-BE49-F238E27FC236}">
                  <a16:creationId xmlns:a16="http://schemas.microsoft.com/office/drawing/2014/main" id="{B9A36B08-ECD4-4385-A39A-A3090EDD98F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2">
          <xdr14:nvContentPartPr>
            <xdr14:cNvPr id="131" name="Entrada de lápiz 130">
              <a:extLst>
                <a:ext uri="{FF2B5EF4-FFF2-40B4-BE49-F238E27FC236}">
                  <a16:creationId xmlns:a16="http://schemas.microsoft.com/office/drawing/2014/main" id="{6BB54648-94E1-41A0-9AFA-D112E564C54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3">
          <xdr14:nvContentPartPr>
            <xdr14:cNvPr id="132" name="Entrada de lápiz 131">
              <a:extLst>
                <a:ext uri="{FF2B5EF4-FFF2-40B4-BE49-F238E27FC236}">
                  <a16:creationId xmlns:a16="http://schemas.microsoft.com/office/drawing/2014/main" id="{34262582-AA29-4F5E-BEDC-A86A4953F52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4">
          <xdr14:nvContentPartPr>
            <xdr14:cNvPr id="133" name="Entrada de lápiz 132">
              <a:extLst>
                <a:ext uri="{FF2B5EF4-FFF2-40B4-BE49-F238E27FC236}">
                  <a16:creationId xmlns:a16="http://schemas.microsoft.com/office/drawing/2014/main" id="{29AF2DA3-882F-4DD5-93A8-690775C88A5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5">
          <xdr14:nvContentPartPr>
            <xdr14:cNvPr id="134" name="Entrada de lápiz 133">
              <a:extLst>
                <a:ext uri="{FF2B5EF4-FFF2-40B4-BE49-F238E27FC236}">
                  <a16:creationId xmlns:a16="http://schemas.microsoft.com/office/drawing/2014/main" id="{9CDCB903-68E0-4661-B57D-A8DF454F2D6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6">
          <xdr14:nvContentPartPr>
            <xdr14:cNvPr id="135" name="Entrada de lápiz 134">
              <a:extLst>
                <a:ext uri="{FF2B5EF4-FFF2-40B4-BE49-F238E27FC236}">
                  <a16:creationId xmlns:a16="http://schemas.microsoft.com/office/drawing/2014/main" id="{3DA8E268-4AEB-4CF5-8029-C4B5F541D63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7">
          <xdr14:nvContentPartPr>
            <xdr14:cNvPr id="136" name="Entrada de lápiz 135">
              <a:extLst>
                <a:ext uri="{FF2B5EF4-FFF2-40B4-BE49-F238E27FC236}">
                  <a16:creationId xmlns:a16="http://schemas.microsoft.com/office/drawing/2014/main" id="{57BCF5E8-4E2F-4653-A7FC-C4696E123B6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8">
          <xdr14:nvContentPartPr>
            <xdr14:cNvPr id="137" name="Entrada de lápiz 136">
              <a:extLst>
                <a:ext uri="{FF2B5EF4-FFF2-40B4-BE49-F238E27FC236}">
                  <a16:creationId xmlns:a16="http://schemas.microsoft.com/office/drawing/2014/main" id="{9D4693E6-5971-40CC-B2EA-4401E7E3BAC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9">
          <xdr14:nvContentPartPr>
            <xdr14:cNvPr id="138" name="Entrada de lápiz 137">
              <a:extLst>
                <a:ext uri="{FF2B5EF4-FFF2-40B4-BE49-F238E27FC236}">
                  <a16:creationId xmlns:a16="http://schemas.microsoft.com/office/drawing/2014/main" id="{F0F7C250-1943-49DA-A97B-3757A1AED32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0">
          <xdr14:nvContentPartPr>
            <xdr14:cNvPr id="139" name="Entrada de lápiz 138">
              <a:extLst>
                <a:ext uri="{FF2B5EF4-FFF2-40B4-BE49-F238E27FC236}">
                  <a16:creationId xmlns:a16="http://schemas.microsoft.com/office/drawing/2014/main" id="{6397E0F2-38D3-4D62-95B5-63C6E083CE6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1">
          <xdr14:nvContentPartPr>
            <xdr14:cNvPr id="140" name="Entrada de lápiz 139">
              <a:extLst>
                <a:ext uri="{FF2B5EF4-FFF2-40B4-BE49-F238E27FC236}">
                  <a16:creationId xmlns:a16="http://schemas.microsoft.com/office/drawing/2014/main" id="{535259E9-516D-4CA3-8EFA-760DC58DFF1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2">
          <xdr14:nvContentPartPr>
            <xdr14:cNvPr id="141" name="Entrada de lápiz 140">
              <a:extLst>
                <a:ext uri="{FF2B5EF4-FFF2-40B4-BE49-F238E27FC236}">
                  <a16:creationId xmlns:a16="http://schemas.microsoft.com/office/drawing/2014/main" id="{B3E2029C-87E2-43CE-A80C-46F03591B83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3">
          <xdr14:nvContentPartPr>
            <xdr14:cNvPr id="142" name="Entrada de lápiz 141">
              <a:extLst>
                <a:ext uri="{FF2B5EF4-FFF2-40B4-BE49-F238E27FC236}">
                  <a16:creationId xmlns:a16="http://schemas.microsoft.com/office/drawing/2014/main" id="{E502D8D8-F87C-4B1C-901A-1AFD8793D87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4">
          <xdr14:nvContentPartPr>
            <xdr14:cNvPr id="143" name="Entrada de lápiz 142">
              <a:extLst>
                <a:ext uri="{FF2B5EF4-FFF2-40B4-BE49-F238E27FC236}">
                  <a16:creationId xmlns:a16="http://schemas.microsoft.com/office/drawing/2014/main" id="{55C13E97-5091-4C3C-A116-C53A5D15A9D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5">
          <xdr14:nvContentPartPr>
            <xdr14:cNvPr id="144" name="Entrada de lápiz 143">
              <a:extLst>
                <a:ext uri="{FF2B5EF4-FFF2-40B4-BE49-F238E27FC236}">
                  <a16:creationId xmlns:a16="http://schemas.microsoft.com/office/drawing/2014/main" id="{A2E81546-7C18-4C03-87F1-5993162F47C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6">
          <xdr14:nvContentPartPr>
            <xdr14:cNvPr id="145" name="Entrada de lápiz 144">
              <a:extLst>
                <a:ext uri="{FF2B5EF4-FFF2-40B4-BE49-F238E27FC236}">
                  <a16:creationId xmlns:a16="http://schemas.microsoft.com/office/drawing/2014/main" id="{70619630-9C2A-4CD2-9529-3B238EF0310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7">
          <xdr14:nvContentPartPr>
            <xdr14:cNvPr id="146" name="Entrada de lápiz 145">
              <a:extLst>
                <a:ext uri="{FF2B5EF4-FFF2-40B4-BE49-F238E27FC236}">
                  <a16:creationId xmlns:a16="http://schemas.microsoft.com/office/drawing/2014/main" id="{D5594B5B-B066-4089-8A81-9A583BD9BFF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8">
          <xdr14:nvContentPartPr>
            <xdr14:cNvPr id="147" name="Entrada de lápiz 146">
              <a:extLst>
                <a:ext uri="{FF2B5EF4-FFF2-40B4-BE49-F238E27FC236}">
                  <a16:creationId xmlns:a16="http://schemas.microsoft.com/office/drawing/2014/main" id="{AC207DC7-E4E9-4DFF-92C7-8F5967AB397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9">
          <xdr14:nvContentPartPr>
            <xdr14:cNvPr id="148" name="Entrada de lápiz 147">
              <a:extLst>
                <a:ext uri="{FF2B5EF4-FFF2-40B4-BE49-F238E27FC236}">
                  <a16:creationId xmlns:a16="http://schemas.microsoft.com/office/drawing/2014/main" id="{720347FC-5DBC-452B-8E14-AA5A97D9B8C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0">
          <xdr14:nvContentPartPr>
            <xdr14:cNvPr id="149" name="Entrada de lápiz 148">
              <a:extLst>
                <a:ext uri="{FF2B5EF4-FFF2-40B4-BE49-F238E27FC236}">
                  <a16:creationId xmlns:a16="http://schemas.microsoft.com/office/drawing/2014/main" id="{70DC6B37-BC04-4CE1-9632-75A20C226BC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1">
          <xdr14:nvContentPartPr>
            <xdr14:cNvPr id="150" name="Entrada de lápiz 149">
              <a:extLst>
                <a:ext uri="{FF2B5EF4-FFF2-40B4-BE49-F238E27FC236}">
                  <a16:creationId xmlns:a16="http://schemas.microsoft.com/office/drawing/2014/main" id="{397B5A72-7280-4106-A27B-2B8A05D88C16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2">
          <xdr14:nvContentPartPr>
            <xdr14:cNvPr id="151" name="Entrada de lápiz 150">
              <a:extLst>
                <a:ext uri="{FF2B5EF4-FFF2-40B4-BE49-F238E27FC236}">
                  <a16:creationId xmlns:a16="http://schemas.microsoft.com/office/drawing/2014/main" id="{6AD2044D-2F55-4C37-A958-1ED0C128828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3">
          <xdr14:nvContentPartPr>
            <xdr14:cNvPr id="152" name="Entrada de lápiz 151">
              <a:extLst>
                <a:ext uri="{FF2B5EF4-FFF2-40B4-BE49-F238E27FC236}">
                  <a16:creationId xmlns:a16="http://schemas.microsoft.com/office/drawing/2014/main" id="{84C9F8EF-5D61-476F-8610-3F61F85FD3C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4">
          <xdr14:nvContentPartPr>
            <xdr14:cNvPr id="153" name="Entrada de lápiz 152">
              <a:extLst>
                <a:ext uri="{FF2B5EF4-FFF2-40B4-BE49-F238E27FC236}">
                  <a16:creationId xmlns:a16="http://schemas.microsoft.com/office/drawing/2014/main" id="{B4484D72-AEE1-42FC-B7C3-4C127C90083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5">
          <xdr14:nvContentPartPr>
            <xdr14:cNvPr id="154" name="Entrada de lápiz 153">
              <a:extLst>
                <a:ext uri="{FF2B5EF4-FFF2-40B4-BE49-F238E27FC236}">
                  <a16:creationId xmlns:a16="http://schemas.microsoft.com/office/drawing/2014/main" id="{DACD783A-2BF3-4C33-AFAA-8A7AD9EEF55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6">
          <xdr14:nvContentPartPr>
            <xdr14:cNvPr id="155" name="Entrada de lápiz 154">
              <a:extLst>
                <a:ext uri="{FF2B5EF4-FFF2-40B4-BE49-F238E27FC236}">
                  <a16:creationId xmlns:a16="http://schemas.microsoft.com/office/drawing/2014/main" id="{046753CE-95E9-49E9-8BBC-97797270C098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25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7">
          <xdr14:nvContentPartPr>
            <xdr14:cNvPr id="156" name="Entrada de lápiz 155">
              <a:extLst>
                <a:ext uri="{FF2B5EF4-FFF2-40B4-BE49-F238E27FC236}">
                  <a16:creationId xmlns:a16="http://schemas.microsoft.com/office/drawing/2014/main" id="{13A57E9B-B2C8-4DD4-A94E-647034A3A1A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8">
          <xdr14:nvContentPartPr>
            <xdr14:cNvPr id="157" name="Entrada de lápiz 156">
              <a:extLst>
                <a:ext uri="{FF2B5EF4-FFF2-40B4-BE49-F238E27FC236}">
                  <a16:creationId xmlns:a16="http://schemas.microsoft.com/office/drawing/2014/main" id="{C0E3B6A5-0636-4ACA-BFAB-471AF1E4AB0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9">
          <xdr14:nvContentPartPr>
            <xdr14:cNvPr id="158" name="Entrada de lápiz 157">
              <a:extLst>
                <a:ext uri="{FF2B5EF4-FFF2-40B4-BE49-F238E27FC236}">
                  <a16:creationId xmlns:a16="http://schemas.microsoft.com/office/drawing/2014/main" id="{B8F5BF9D-06A8-4E7D-9770-A18FEC394BB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0">
          <xdr14:nvContentPartPr>
            <xdr14:cNvPr id="159" name="Entrada de lápiz 158">
              <a:extLst>
                <a:ext uri="{FF2B5EF4-FFF2-40B4-BE49-F238E27FC236}">
                  <a16:creationId xmlns:a16="http://schemas.microsoft.com/office/drawing/2014/main" id="{8B73426A-6A33-424F-A60A-36D2731A17C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1">
          <xdr14:nvContentPartPr>
            <xdr14:cNvPr id="160" name="Entrada de lápiz 159">
              <a:extLst>
                <a:ext uri="{FF2B5EF4-FFF2-40B4-BE49-F238E27FC236}">
                  <a16:creationId xmlns:a16="http://schemas.microsoft.com/office/drawing/2014/main" id="{1EA6B4B0-CB85-4279-8ED0-F9396D2F09A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2">
          <xdr14:nvContentPartPr>
            <xdr14:cNvPr id="161" name="Entrada de lápiz 160">
              <a:extLst>
                <a:ext uri="{FF2B5EF4-FFF2-40B4-BE49-F238E27FC236}">
                  <a16:creationId xmlns:a16="http://schemas.microsoft.com/office/drawing/2014/main" id="{9B829546-2117-4945-B1E4-03004A46C59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3">
          <xdr14:nvContentPartPr>
            <xdr14:cNvPr id="162" name="Entrada de lápiz 161">
              <a:extLst>
                <a:ext uri="{FF2B5EF4-FFF2-40B4-BE49-F238E27FC236}">
                  <a16:creationId xmlns:a16="http://schemas.microsoft.com/office/drawing/2014/main" id="{BBB7AF90-A763-4556-9FB3-0558BB6226C9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4">
          <xdr14:nvContentPartPr>
            <xdr14:cNvPr id="163" name="Entrada de lápiz 162">
              <a:extLst>
                <a:ext uri="{FF2B5EF4-FFF2-40B4-BE49-F238E27FC236}">
                  <a16:creationId xmlns:a16="http://schemas.microsoft.com/office/drawing/2014/main" id="{F3CBF716-D8AB-4E76-A94F-8EB6D05C6FE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27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5">
          <xdr14:nvContentPartPr>
            <xdr14:cNvPr id="164" name="Entrada de lápiz 163">
              <a:extLst>
                <a:ext uri="{FF2B5EF4-FFF2-40B4-BE49-F238E27FC236}">
                  <a16:creationId xmlns:a16="http://schemas.microsoft.com/office/drawing/2014/main" id="{814C45DB-F609-4827-BAA7-A72CA9B976A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6">
          <xdr14:nvContentPartPr>
            <xdr14:cNvPr id="165" name="Entrada de lápiz 164">
              <a:extLst>
                <a:ext uri="{FF2B5EF4-FFF2-40B4-BE49-F238E27FC236}">
                  <a16:creationId xmlns:a16="http://schemas.microsoft.com/office/drawing/2014/main" id="{9BB7865A-3619-4BDE-868E-2214917AA05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7">
          <xdr14:nvContentPartPr>
            <xdr14:cNvPr id="166" name="Entrada de lápiz 165">
              <a:extLst>
                <a:ext uri="{FF2B5EF4-FFF2-40B4-BE49-F238E27FC236}">
                  <a16:creationId xmlns:a16="http://schemas.microsoft.com/office/drawing/2014/main" id="{A9DC2AAC-772B-45BB-8539-B68C3246E31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8">
          <xdr14:nvContentPartPr>
            <xdr14:cNvPr id="167" name="Entrada de lápiz 166">
              <a:extLst>
                <a:ext uri="{FF2B5EF4-FFF2-40B4-BE49-F238E27FC236}">
                  <a16:creationId xmlns:a16="http://schemas.microsoft.com/office/drawing/2014/main" id="{F3AC73B4-1538-4C28-B8A3-30AB103D357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9">
          <xdr14:nvContentPartPr>
            <xdr14:cNvPr id="168" name="Entrada de lápiz 167">
              <a:extLst>
                <a:ext uri="{FF2B5EF4-FFF2-40B4-BE49-F238E27FC236}">
                  <a16:creationId xmlns:a16="http://schemas.microsoft.com/office/drawing/2014/main" id="{D3F78403-DCC4-4DA5-AFB0-EDA6F8C8CC9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0">
          <xdr14:nvContentPartPr>
            <xdr14:cNvPr id="169" name="Entrada de lápiz 168">
              <a:extLst>
                <a:ext uri="{FF2B5EF4-FFF2-40B4-BE49-F238E27FC236}">
                  <a16:creationId xmlns:a16="http://schemas.microsoft.com/office/drawing/2014/main" id="{C5EAA4FF-19D3-48F1-81A6-A52088D51D0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1">
          <xdr14:nvContentPartPr>
            <xdr14:cNvPr id="170" name="Entrada de lápiz 169">
              <a:extLst>
                <a:ext uri="{FF2B5EF4-FFF2-40B4-BE49-F238E27FC236}">
                  <a16:creationId xmlns:a16="http://schemas.microsoft.com/office/drawing/2014/main" id="{392DEF19-BDFA-4B86-8127-D165C9244BD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2">
          <xdr14:nvContentPartPr>
            <xdr14:cNvPr id="171" name="Entrada de lápiz 170">
              <a:extLst>
                <a:ext uri="{FF2B5EF4-FFF2-40B4-BE49-F238E27FC236}">
                  <a16:creationId xmlns:a16="http://schemas.microsoft.com/office/drawing/2014/main" id="{8A116773-602F-4DF1-A560-A3B5FE2A4E6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3">
          <xdr14:nvContentPartPr>
            <xdr14:cNvPr id="172" name="Entrada de lápiz 171">
              <a:extLst>
                <a:ext uri="{FF2B5EF4-FFF2-40B4-BE49-F238E27FC236}">
                  <a16:creationId xmlns:a16="http://schemas.microsoft.com/office/drawing/2014/main" id="{4357E592-12B9-4C8C-8451-4930F4D6BE6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4">
          <xdr14:nvContentPartPr>
            <xdr14:cNvPr id="173" name="Entrada de lápiz 172">
              <a:extLst>
                <a:ext uri="{FF2B5EF4-FFF2-40B4-BE49-F238E27FC236}">
                  <a16:creationId xmlns:a16="http://schemas.microsoft.com/office/drawing/2014/main" id="{9AA9CCE2-AE47-4823-9D11-861B392D6FE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5">
          <xdr14:nvContentPartPr>
            <xdr14:cNvPr id="174" name="Entrada de lápiz 173">
              <a:extLst>
                <a:ext uri="{FF2B5EF4-FFF2-40B4-BE49-F238E27FC236}">
                  <a16:creationId xmlns:a16="http://schemas.microsoft.com/office/drawing/2014/main" id="{23FEAB37-DC92-47A9-B493-9E4762C7897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6">
          <xdr14:nvContentPartPr>
            <xdr14:cNvPr id="175" name="Entrada de lápiz 174">
              <a:extLst>
                <a:ext uri="{FF2B5EF4-FFF2-40B4-BE49-F238E27FC236}">
                  <a16:creationId xmlns:a16="http://schemas.microsoft.com/office/drawing/2014/main" id="{11C23187-DC70-4A3D-BB57-13924020AD0E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7">
          <xdr14:nvContentPartPr>
            <xdr14:cNvPr id="176" name="Entrada de lápiz 175">
              <a:extLst>
                <a:ext uri="{FF2B5EF4-FFF2-40B4-BE49-F238E27FC236}">
                  <a16:creationId xmlns:a16="http://schemas.microsoft.com/office/drawing/2014/main" id="{C88C1F14-1BC0-4F01-88B0-7EB486547EFD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8">
          <xdr14:nvContentPartPr>
            <xdr14:cNvPr id="177" name="Entrada de lápiz 176">
              <a:extLst>
                <a:ext uri="{FF2B5EF4-FFF2-40B4-BE49-F238E27FC236}">
                  <a16:creationId xmlns:a16="http://schemas.microsoft.com/office/drawing/2014/main" id="{320AD241-9C10-4639-B048-73D5D2D61795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9">
          <xdr14:nvContentPartPr>
            <xdr14:cNvPr id="178" name="Entrada de lápiz 177">
              <a:extLst>
                <a:ext uri="{FF2B5EF4-FFF2-40B4-BE49-F238E27FC236}">
                  <a16:creationId xmlns:a16="http://schemas.microsoft.com/office/drawing/2014/main" id="{5358C058-8B7C-4B5E-BCD5-7C9148D7D10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0">
          <xdr14:nvContentPartPr>
            <xdr14:cNvPr id="179" name="Entrada de lápiz 178">
              <a:extLst>
                <a:ext uri="{FF2B5EF4-FFF2-40B4-BE49-F238E27FC236}">
                  <a16:creationId xmlns:a16="http://schemas.microsoft.com/office/drawing/2014/main" id="{029ABB27-E5CA-4372-B47A-6D20AAA301E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1">
          <xdr14:nvContentPartPr>
            <xdr14:cNvPr id="180" name="Entrada de lápiz 179">
              <a:extLst>
                <a:ext uri="{FF2B5EF4-FFF2-40B4-BE49-F238E27FC236}">
                  <a16:creationId xmlns:a16="http://schemas.microsoft.com/office/drawing/2014/main" id="{A2977AFE-AE62-41E6-AA71-57048950ECA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2">
          <xdr14:nvContentPartPr>
            <xdr14:cNvPr id="181" name="Entrada de lápiz 180">
              <a:extLst>
                <a:ext uri="{FF2B5EF4-FFF2-40B4-BE49-F238E27FC236}">
                  <a16:creationId xmlns:a16="http://schemas.microsoft.com/office/drawing/2014/main" id="{5628792D-037C-4182-BFDA-D13022D840D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3">
          <xdr14:nvContentPartPr>
            <xdr14:cNvPr id="182" name="Entrada de lápiz 181">
              <a:extLst>
                <a:ext uri="{FF2B5EF4-FFF2-40B4-BE49-F238E27FC236}">
                  <a16:creationId xmlns:a16="http://schemas.microsoft.com/office/drawing/2014/main" id="{90052E15-9338-479C-832D-000438ED1C6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4">
          <xdr14:nvContentPartPr>
            <xdr14:cNvPr id="183" name="Entrada de lápiz 182">
              <a:extLst>
                <a:ext uri="{FF2B5EF4-FFF2-40B4-BE49-F238E27FC236}">
                  <a16:creationId xmlns:a16="http://schemas.microsoft.com/office/drawing/2014/main" id="{E550CDEA-CBD8-43C9-B2AC-B41EEF944D2B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5">
          <xdr14:nvContentPartPr>
            <xdr14:cNvPr id="184" name="Entrada de lápiz 183">
              <a:extLst>
                <a:ext uri="{FF2B5EF4-FFF2-40B4-BE49-F238E27FC236}">
                  <a16:creationId xmlns:a16="http://schemas.microsoft.com/office/drawing/2014/main" id="{D847B9D1-9810-4312-95FE-0CC9AB27350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6">
          <xdr14:nvContentPartPr>
            <xdr14:cNvPr id="185" name="Entrada de lápiz 184">
              <a:extLst>
                <a:ext uri="{FF2B5EF4-FFF2-40B4-BE49-F238E27FC236}">
                  <a16:creationId xmlns:a16="http://schemas.microsoft.com/office/drawing/2014/main" id="{770DFC58-56FA-4B1C-96BF-C999B478187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7">
          <xdr14:nvContentPartPr>
            <xdr14:cNvPr id="186" name="Entrada de lápiz 185">
              <a:extLst>
                <a:ext uri="{FF2B5EF4-FFF2-40B4-BE49-F238E27FC236}">
                  <a16:creationId xmlns:a16="http://schemas.microsoft.com/office/drawing/2014/main" id="{2EA40928-B28A-4916-84CB-7FACD900B427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8">
          <xdr14:nvContentPartPr>
            <xdr14:cNvPr id="187" name="Entrada de lápiz 186">
              <a:extLst>
                <a:ext uri="{FF2B5EF4-FFF2-40B4-BE49-F238E27FC236}">
                  <a16:creationId xmlns:a16="http://schemas.microsoft.com/office/drawing/2014/main" id="{1086E01D-AA6C-4840-81AE-D910DBA59210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9">
          <xdr14:nvContentPartPr>
            <xdr14:cNvPr id="188" name="Entrada de lápiz 187">
              <a:extLst>
                <a:ext uri="{FF2B5EF4-FFF2-40B4-BE49-F238E27FC236}">
                  <a16:creationId xmlns:a16="http://schemas.microsoft.com/office/drawing/2014/main" id="{BDCBCC31-9EF8-403A-B35A-E18A4E36D47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0">
          <xdr14:nvContentPartPr>
            <xdr14:cNvPr id="189" name="Entrada de lápiz 188">
              <a:extLst>
                <a:ext uri="{FF2B5EF4-FFF2-40B4-BE49-F238E27FC236}">
                  <a16:creationId xmlns:a16="http://schemas.microsoft.com/office/drawing/2014/main" id="{62BF0E84-7667-4AEB-9E86-2DCEA7D1F3AC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1">
          <xdr14:nvContentPartPr>
            <xdr14:cNvPr id="190" name="Entrada de lápiz 189">
              <a:extLst>
                <a:ext uri="{FF2B5EF4-FFF2-40B4-BE49-F238E27FC236}">
                  <a16:creationId xmlns:a16="http://schemas.microsoft.com/office/drawing/2014/main" id="{E129AF12-4635-4B89-BD50-DD4F7C0BA323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2">
          <xdr14:nvContentPartPr>
            <xdr14:cNvPr id="191" name="Entrada de lápiz 190">
              <a:extLst>
                <a:ext uri="{FF2B5EF4-FFF2-40B4-BE49-F238E27FC236}">
                  <a16:creationId xmlns:a16="http://schemas.microsoft.com/office/drawing/2014/main" id="{60283145-D528-4B45-8FDA-F4A3DF369E84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3">
          <xdr14:nvContentPartPr>
            <xdr14:cNvPr id="192" name="Entrada de lápiz 191">
              <a:extLst>
                <a:ext uri="{FF2B5EF4-FFF2-40B4-BE49-F238E27FC236}">
                  <a16:creationId xmlns:a16="http://schemas.microsoft.com/office/drawing/2014/main" id="{6844DD70-1BEF-4359-8BE5-5F5F1C402D2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4">
          <xdr14:nvContentPartPr>
            <xdr14:cNvPr id="193" name="Entrada de lápiz 192">
              <a:extLst>
                <a:ext uri="{FF2B5EF4-FFF2-40B4-BE49-F238E27FC236}">
                  <a16:creationId xmlns:a16="http://schemas.microsoft.com/office/drawing/2014/main" id="{EBDC349B-094F-4D85-BD75-9968F4E75C5F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5">
          <xdr14:nvContentPartPr>
            <xdr14:cNvPr id="194" name="Entrada de lápiz 193">
              <a:extLst>
                <a:ext uri="{FF2B5EF4-FFF2-40B4-BE49-F238E27FC236}">
                  <a16:creationId xmlns:a16="http://schemas.microsoft.com/office/drawing/2014/main" id="{6E6B4083-4B5B-4678-AA32-D28A3BC1F07A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6">
          <xdr14:nvContentPartPr>
            <xdr14:cNvPr id="195" name="Entrada de lápiz 194">
              <a:extLst>
                <a:ext uri="{FF2B5EF4-FFF2-40B4-BE49-F238E27FC236}">
                  <a16:creationId xmlns:a16="http://schemas.microsoft.com/office/drawing/2014/main" id="{04C654C9-FEA7-4958-85C1-C9BACB432BC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7">
          <xdr14:nvContentPartPr>
            <xdr14:cNvPr id="196" name="Entrada de lápiz 195">
              <a:extLst>
                <a:ext uri="{FF2B5EF4-FFF2-40B4-BE49-F238E27FC236}">
                  <a16:creationId xmlns:a16="http://schemas.microsoft.com/office/drawing/2014/main" id="{6A2A01AA-9A55-44BE-B8AA-DC5F5A6AD562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611682</xdr:colOff>
      <xdr:row>34</xdr:row>
      <xdr:rowOff>101668</xdr:rowOff>
    </xdr:from>
    <xdr:ext cx="9720" cy="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8">
          <xdr14:nvContentPartPr>
            <xdr14:cNvPr id="197" name="Entrada de lápiz 196">
              <a:extLst>
                <a:ext uri="{FF2B5EF4-FFF2-40B4-BE49-F238E27FC236}">
                  <a16:creationId xmlns:a16="http://schemas.microsoft.com/office/drawing/2014/main" id="{A2A66FBF-7559-4517-8599-825F4CCAB771}"/>
                </a:ext>
              </a:extLst>
            </xdr14:cNvPr>
            <xdr14:cNvContentPartPr/>
          </xdr14:nvContentPartPr>
          <xdr14:nvPr macro=""/>
          <xdr14:xfrm>
            <a:off x="1994040" y="2425320"/>
            <a:ext cx="9720" cy="3960"/>
          </xdr14:xfrm>
        </xdr:contentPart>
      </mc:Choice>
      <mc:Fallback xmlns="">
        <xdr:pic>
          <xdr:nvPicPr>
            <xdr:cNvPr id="213" name="Entrada de lápiz 212">
              <a:extLst>
                <a:ext uri="{FF2B5EF4-FFF2-40B4-BE49-F238E27FC236}">
                  <a16:creationId xmlns:a16="http://schemas.microsoft.com/office/drawing/2014/main" id="{6C6FEAFD-CE46-D046-ABE4-29A384A7FA28}"/>
                </a:ext>
              </a:extLst>
            </xdr:cNvPr>
            <xdr:cNvPicPr/>
          </xdr:nvPicPr>
          <xdr:blipFill>
            <a:blip xmlns:r="http://schemas.openxmlformats.org/officeDocument/2006/relationships" r:embed="rId393"/>
            <a:stretch>
              <a:fillRect/>
            </a:stretch>
          </xdr:blipFill>
          <xdr:spPr>
            <a:xfrm>
              <a:off x="1985040" y="2416320"/>
              <a:ext cx="27360" cy="216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5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5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5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5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5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5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6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7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8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29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0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1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2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3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4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5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5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5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5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7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7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9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9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9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9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9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9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39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0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1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2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3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4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5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6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7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8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79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80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81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82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83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84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85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1-14T20:22:59.486"/>
    </inkml:context>
    <inkml:brush xml:id="br0">
      <inkml:brushProperty name="width" value="0.05" units="cm"/>
      <inkml:brushProperty name="height" value="0.05" units="cm"/>
      <inkml:brushProperty name="color" value="#57D200"/>
    </inkml:brush>
  </inkml:definitions>
  <inkml:trace contextRef="#ctx0" brushRef="#br0">0 10 488,'0'0'0,"0"0"0,3 0 272,2-3 8,0-1-264,-5 4-16,13-3-120,-13 3-608,0 0 728</inkml:trace>
</inkml: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BF0E-07D4-48E5-860D-B8E657415C76}">
  <sheetPr codeName="Hoja1"/>
  <dimension ref="B1:R36"/>
  <sheetViews>
    <sheetView zoomScale="90" zoomScaleNormal="90" workbookViewId="0">
      <selection activeCell="E27" sqref="E27"/>
    </sheetView>
  </sheetViews>
  <sheetFormatPr baseColWidth="10" defaultRowHeight="14.4" x14ac:dyDescent="0.3"/>
  <cols>
    <col min="1" max="1" width="4.109375" customWidth="1"/>
    <col min="2" max="2" width="17" bestFit="1" customWidth="1"/>
    <col min="8" max="8" width="18.33203125" customWidth="1"/>
  </cols>
  <sheetData>
    <row r="1" spans="2:18" x14ac:dyDescent="0.3">
      <c r="B1" s="46" t="s">
        <v>32</v>
      </c>
      <c r="C1" s="46"/>
      <c r="D1" s="46"/>
      <c r="E1" s="46"/>
      <c r="F1" s="46"/>
      <c r="H1" s="46" t="s">
        <v>54</v>
      </c>
      <c r="I1" s="46"/>
      <c r="J1" s="46"/>
      <c r="K1" s="46"/>
      <c r="L1" s="46"/>
    </row>
    <row r="3" spans="2:18" x14ac:dyDescent="0.3">
      <c r="B3" s="29" t="s">
        <v>34</v>
      </c>
      <c r="H3" s="29" t="s">
        <v>34</v>
      </c>
      <c r="J3" t="s">
        <v>63</v>
      </c>
      <c r="M3" s="1" t="s">
        <v>55</v>
      </c>
      <c r="N3" s="1" t="s">
        <v>45</v>
      </c>
      <c r="O3" s="1" t="s">
        <v>44</v>
      </c>
      <c r="P3" s="1"/>
    </row>
    <row r="4" spans="2:18" x14ac:dyDescent="0.3">
      <c r="B4" s="30" t="s">
        <v>33</v>
      </c>
      <c r="C4" s="41">
        <f>+'Mercado Accionario y TC'!E4</f>
        <v>20.819700000000001</v>
      </c>
      <c r="H4" s="30" t="s">
        <v>33</v>
      </c>
      <c r="I4" s="31">
        <v>0.2</v>
      </c>
      <c r="J4" s="1">
        <f>+C4*(1+I4)</f>
        <v>24.983640000000001</v>
      </c>
      <c r="M4" s="2" t="s">
        <v>56</v>
      </c>
      <c r="N4" t="s">
        <v>16</v>
      </c>
      <c r="O4" s="26" cm="1">
        <f t="array" ref="O4:P4">LINEST('Mercado Accionario y TC'!$P$4:$P$255,'Mercado Accionario y TC'!$X$4:$X$255,0)</f>
        <v>0.96310170503036663</v>
      </c>
      <c r="P4" s="42">
        <v>0</v>
      </c>
    </row>
    <row r="5" spans="2:18" x14ac:dyDescent="0.3">
      <c r="M5" s="2" t="s">
        <v>56</v>
      </c>
      <c r="N5" t="s">
        <v>17</v>
      </c>
      <c r="O5" s="26" cm="1">
        <f t="array" ref="O5:P5">LINEST('Mercado Accionario y TC'!$Q$4:$Q$255,'Mercado Accionario y TC'!$X$4:$X$255,0)</f>
        <v>0.77710812504915128</v>
      </c>
      <c r="P5" s="42">
        <v>0</v>
      </c>
      <c r="Q5" s="2"/>
      <c r="R5" s="2"/>
    </row>
    <row r="6" spans="2:18" x14ac:dyDescent="0.3">
      <c r="B6" s="29" t="s">
        <v>35</v>
      </c>
      <c r="H6" s="29" t="s">
        <v>35</v>
      </c>
      <c r="J6" t="s">
        <v>64</v>
      </c>
      <c r="M6" s="2" t="s">
        <v>56</v>
      </c>
      <c r="N6" t="s">
        <v>18</v>
      </c>
      <c r="O6" s="26" cm="1">
        <f t="array" ref="O6:P6">LINEST('Mercado Accionario y TC'!$R$4:$R$255,'Mercado Accionario y TC'!$X$4:$X$255,0)</f>
        <v>1.0969929567339411</v>
      </c>
      <c r="P6" s="42">
        <v>0</v>
      </c>
      <c r="Q6" s="40"/>
      <c r="R6" s="8"/>
    </row>
    <row r="7" spans="2:18" x14ac:dyDescent="0.3">
      <c r="B7" s="30" t="s">
        <v>36</v>
      </c>
      <c r="C7" s="26">
        <f>+'Mercado Accionario y TC'!N4</f>
        <v>49513.27</v>
      </c>
      <c r="H7" s="30" t="s">
        <v>36</v>
      </c>
      <c r="I7" s="31">
        <v>-0.3</v>
      </c>
      <c r="J7" s="33">
        <f t="shared" ref="J7:J8" si="0">+C7*(1+I7)</f>
        <v>34659.288999999997</v>
      </c>
      <c r="M7" s="2" t="s">
        <v>56</v>
      </c>
      <c r="N7" t="s">
        <v>19</v>
      </c>
      <c r="O7" s="26" cm="1">
        <f t="array" ref="O7:P7">LINEST('Mercado Accionario y TC'!$S$4:$S$255,'Mercado Accionario y TC'!$X$4:$X$255,0)</f>
        <v>1.521666372866586</v>
      </c>
      <c r="P7" s="42">
        <v>0</v>
      </c>
    </row>
    <row r="8" spans="2:18" x14ac:dyDescent="0.3">
      <c r="B8" s="30" t="s">
        <v>37</v>
      </c>
      <c r="C8" s="26">
        <f>+'Mercado Accionario y TC'!O4</f>
        <v>5881.63</v>
      </c>
      <c r="H8" s="30" t="s">
        <v>37</v>
      </c>
      <c r="I8" s="31">
        <v>-0.2</v>
      </c>
      <c r="J8" s="33">
        <f t="shared" si="0"/>
        <v>4705.3040000000001</v>
      </c>
      <c r="M8" s="2" t="s">
        <v>56</v>
      </c>
      <c r="N8" t="s">
        <v>20</v>
      </c>
      <c r="O8" s="26" cm="1">
        <f t="array" ref="O8:P8">LINEST('Mercado Accionario y TC'!$T$4:$T$255,'Mercado Accionario y TC'!$X$4:$X$255,0)</f>
        <v>0.53666746880948446</v>
      </c>
      <c r="P8" s="42">
        <v>0</v>
      </c>
    </row>
    <row r="9" spans="2:18" x14ac:dyDescent="0.3">
      <c r="B9" s="30"/>
      <c r="C9" s="26"/>
      <c r="H9" s="30"/>
      <c r="J9" s="26"/>
      <c r="M9" s="2" t="s">
        <v>56</v>
      </c>
      <c r="N9" t="s">
        <v>21</v>
      </c>
      <c r="O9" s="26" cm="1">
        <f t="array" ref="O9:P9">LINEST('Mercado Accionario y TC'!$U$4:$U$255,'Mercado Accionario y TC'!$X$4:$X$255,0)</f>
        <v>1.0444292156249639</v>
      </c>
      <c r="P9" s="42">
        <v>0</v>
      </c>
    </row>
    <row r="10" spans="2:18" x14ac:dyDescent="0.3">
      <c r="B10" s="30"/>
      <c r="C10" s="26"/>
      <c r="H10" s="29" t="s">
        <v>41</v>
      </c>
      <c r="J10" s="26"/>
      <c r="M10" s="2" t="s">
        <v>57</v>
      </c>
      <c r="N10" t="s">
        <v>22</v>
      </c>
      <c r="O10" s="26" cm="1">
        <f t="array" ref="O10:P10">LINEST('Mercado Accionario y TC'!$V$4:$V$255,'Mercado Accionario y TC'!$Y$4:$Y$255,0)</f>
        <v>1.5594122139801483</v>
      </c>
      <c r="P10" s="43">
        <v>0</v>
      </c>
    </row>
    <row r="11" spans="2:18" x14ac:dyDescent="0.3">
      <c r="H11" s="30" t="s">
        <v>42</v>
      </c>
      <c r="I11" s="32">
        <v>130</v>
      </c>
      <c r="J11" s="1" t="s">
        <v>43</v>
      </c>
      <c r="M11" s="2" t="s">
        <v>57</v>
      </c>
      <c r="N11" t="s">
        <v>23</v>
      </c>
      <c r="O11" s="26" cm="1">
        <f t="array" ref="O11:P11">LINEST('Mercado Accionario y TC'!$W$4:$W$255,'Mercado Accionario y TC'!$Y$4:$Y$255,0)</f>
        <v>2.4126297007076736</v>
      </c>
      <c r="P11" s="43">
        <v>0</v>
      </c>
    </row>
    <row r="12" spans="2:18" x14ac:dyDescent="0.3">
      <c r="H12" s="30"/>
    </row>
    <row r="13" spans="2:18" x14ac:dyDescent="0.3">
      <c r="C13" s="9" t="s">
        <v>58</v>
      </c>
      <c r="D13" s="10"/>
      <c r="E13" s="10"/>
      <c r="F13" s="10"/>
      <c r="I13" s="9" t="s">
        <v>58</v>
      </c>
      <c r="J13" s="10"/>
      <c r="K13" s="10"/>
      <c r="L13" s="10"/>
    </row>
    <row r="14" spans="2:18" x14ac:dyDescent="0.3">
      <c r="C14" s="1" t="s">
        <v>10</v>
      </c>
      <c r="D14" s="11" t="s">
        <v>11</v>
      </c>
      <c r="E14" s="1" t="s">
        <v>12</v>
      </c>
      <c r="F14" s="11" t="s">
        <v>13</v>
      </c>
      <c r="I14" s="1" t="s">
        <v>10</v>
      </c>
      <c r="J14" s="11" t="s">
        <v>11</v>
      </c>
      <c r="K14" s="1" t="s">
        <v>12</v>
      </c>
      <c r="L14" s="11" t="s">
        <v>13</v>
      </c>
    </row>
    <row r="15" spans="2:18" x14ac:dyDescent="0.3">
      <c r="B15" s="2" t="str">
        <f>+C15&amp;"D"</f>
        <v>1D</v>
      </c>
      <c r="C15">
        <v>1</v>
      </c>
      <c r="D15" s="8">
        <v>0.1</v>
      </c>
      <c r="E15">
        <v>7</v>
      </c>
      <c r="F15" s="8">
        <f>+D16</f>
        <v>0.10009999999999999</v>
      </c>
      <c r="H15" s="2" t="str">
        <f>+I15&amp;"D"</f>
        <v>1D</v>
      </c>
      <c r="I15">
        <v>1</v>
      </c>
      <c r="J15" s="8">
        <f>+D15+$I$11/10000</f>
        <v>0.113</v>
      </c>
      <c r="K15">
        <v>7</v>
      </c>
      <c r="L15" s="8">
        <f>+J16</f>
        <v>0.11309999999999999</v>
      </c>
    </row>
    <row r="16" spans="2:18" x14ac:dyDescent="0.3">
      <c r="B16" s="2" t="str">
        <f t="shared" ref="B16:B17" si="1">+C16&amp;"D"</f>
        <v>7D</v>
      </c>
      <c r="C16">
        <v>7</v>
      </c>
      <c r="D16" s="8">
        <v>0.10009999999999999</v>
      </c>
      <c r="E16">
        <v>14</v>
      </c>
      <c r="F16" s="8">
        <f t="shared" ref="F16:F35" si="2">+D17</f>
        <v>0.1002</v>
      </c>
      <c r="H16" s="2" t="str">
        <f t="shared" ref="H16:H17" si="3">+I16&amp;"D"</f>
        <v>7D</v>
      </c>
      <c r="I16">
        <v>7</v>
      </c>
      <c r="J16" s="8">
        <f t="shared" ref="J16:J36" si="4">+D16+$I$11/10000</f>
        <v>0.11309999999999999</v>
      </c>
      <c r="K16">
        <v>14</v>
      </c>
      <c r="L16" s="8">
        <f t="shared" ref="L16:L35" si="5">+J17</f>
        <v>0.1132</v>
      </c>
    </row>
    <row r="17" spans="2:12" x14ac:dyDescent="0.3">
      <c r="B17" s="2" t="str">
        <f t="shared" si="1"/>
        <v>14D</v>
      </c>
      <c r="C17">
        <v>14</v>
      </c>
      <c r="D17" s="8">
        <v>0.1002</v>
      </c>
      <c r="E17">
        <v>28</v>
      </c>
      <c r="F17" s="8">
        <f t="shared" si="2"/>
        <v>0.1002</v>
      </c>
      <c r="H17" s="2" t="str">
        <f t="shared" si="3"/>
        <v>14D</v>
      </c>
      <c r="I17">
        <v>14</v>
      </c>
      <c r="J17" s="8">
        <f t="shared" si="4"/>
        <v>0.1132</v>
      </c>
      <c r="K17">
        <v>28</v>
      </c>
      <c r="L17" s="8">
        <f t="shared" si="5"/>
        <v>0.1132</v>
      </c>
    </row>
    <row r="18" spans="2:12" x14ac:dyDescent="0.3">
      <c r="B18" s="2" t="str">
        <f>+(C18/28)&amp;"M"</f>
        <v>1M</v>
      </c>
      <c r="C18">
        <v>28</v>
      </c>
      <c r="D18" s="8">
        <v>0.1002</v>
      </c>
      <c r="E18">
        <v>56</v>
      </c>
      <c r="F18" s="8">
        <f t="shared" si="2"/>
        <v>0.1</v>
      </c>
      <c r="H18" s="2" t="str">
        <f>+(I18/28)&amp;"M"</f>
        <v>1M</v>
      </c>
      <c r="I18">
        <v>28</v>
      </c>
      <c r="J18" s="8">
        <f t="shared" si="4"/>
        <v>0.1132</v>
      </c>
      <c r="K18">
        <v>56</v>
      </c>
      <c r="L18" s="8">
        <f t="shared" si="5"/>
        <v>0.113</v>
      </c>
    </row>
    <row r="19" spans="2:12" x14ac:dyDescent="0.3">
      <c r="B19" s="2" t="str">
        <f>+(C19/28)&amp;"M"</f>
        <v>2M</v>
      </c>
      <c r="C19">
        <v>56</v>
      </c>
      <c r="D19" s="8">
        <v>0.1</v>
      </c>
      <c r="E19">
        <v>91</v>
      </c>
      <c r="F19" s="8">
        <f t="shared" si="2"/>
        <v>9.98E-2</v>
      </c>
      <c r="H19" s="2" t="str">
        <f>+(I19/28)&amp;"M"</f>
        <v>2M</v>
      </c>
      <c r="I19">
        <v>56</v>
      </c>
      <c r="J19" s="8">
        <f t="shared" si="4"/>
        <v>0.113</v>
      </c>
      <c r="K19">
        <v>91</v>
      </c>
      <c r="L19" s="8">
        <f t="shared" si="5"/>
        <v>0.1128</v>
      </c>
    </row>
    <row r="20" spans="2:12" x14ac:dyDescent="0.3">
      <c r="B20" s="2" t="str">
        <f>+ROUND(C20/28,0)&amp;"M"</f>
        <v>3M</v>
      </c>
      <c r="C20">
        <v>91</v>
      </c>
      <c r="D20" s="8">
        <v>9.98E-2</v>
      </c>
      <c r="E20">
        <v>182</v>
      </c>
      <c r="F20" s="8">
        <f t="shared" si="2"/>
        <v>9.9700000000000011E-2</v>
      </c>
      <c r="H20" s="2" t="str">
        <f>+ROUND(I20/28,0)&amp;"M"</f>
        <v>3M</v>
      </c>
      <c r="I20">
        <v>91</v>
      </c>
      <c r="J20" s="8">
        <f t="shared" si="4"/>
        <v>0.1128</v>
      </c>
      <c r="K20">
        <v>182</v>
      </c>
      <c r="L20" s="8">
        <f t="shared" si="5"/>
        <v>0.11270000000000001</v>
      </c>
    </row>
    <row r="21" spans="2:12" x14ac:dyDescent="0.3">
      <c r="B21" s="2" t="str">
        <f>+ROUND(C21/30,0)&amp;"M"</f>
        <v>6M</v>
      </c>
      <c r="C21">
        <v>182</v>
      </c>
      <c r="D21" s="8">
        <v>9.9700000000000011E-2</v>
      </c>
      <c r="E21">
        <v>273</v>
      </c>
      <c r="F21" s="8">
        <f t="shared" si="2"/>
        <v>0.1003</v>
      </c>
      <c r="H21" s="2" t="str">
        <f>+ROUND(I21/30,0)&amp;"M"</f>
        <v>6M</v>
      </c>
      <c r="I21">
        <v>182</v>
      </c>
      <c r="J21" s="8">
        <f t="shared" si="4"/>
        <v>0.11270000000000001</v>
      </c>
      <c r="K21">
        <v>273</v>
      </c>
      <c r="L21" s="8">
        <f t="shared" si="5"/>
        <v>0.1133</v>
      </c>
    </row>
    <row r="22" spans="2:12" x14ac:dyDescent="0.3">
      <c r="B22" s="2" t="str">
        <f>+ROUND(C22/30,0)&amp;"M"</f>
        <v>9M</v>
      </c>
      <c r="C22">
        <v>273</v>
      </c>
      <c r="D22" s="8">
        <v>0.1003</v>
      </c>
      <c r="E22">
        <v>364</v>
      </c>
      <c r="F22" s="8">
        <f t="shared" si="2"/>
        <v>0.10009999999999999</v>
      </c>
      <c r="H22" s="2" t="str">
        <f>+ROUND(I22/30,0)&amp;"M"</f>
        <v>9M</v>
      </c>
      <c r="I22">
        <v>273</v>
      </c>
      <c r="J22" s="8">
        <f t="shared" si="4"/>
        <v>0.1133</v>
      </c>
      <c r="K22">
        <v>364</v>
      </c>
      <c r="L22" s="8">
        <f t="shared" si="5"/>
        <v>0.11309999999999999</v>
      </c>
    </row>
    <row r="23" spans="2:12" x14ac:dyDescent="0.3">
      <c r="B23" s="2" t="str">
        <f>+ROUND(C23/360,0)&amp;"A"</f>
        <v>1A</v>
      </c>
      <c r="C23">
        <v>364</v>
      </c>
      <c r="D23" s="8">
        <v>0.10009999999999999</v>
      </c>
      <c r="E23">
        <v>580</v>
      </c>
      <c r="F23" s="8">
        <f t="shared" si="2"/>
        <v>9.9729999999999999E-2</v>
      </c>
      <c r="H23" s="2" t="str">
        <f>+ROUND(I23/360,0)&amp;"A"</f>
        <v>1A</v>
      </c>
      <c r="I23">
        <v>364</v>
      </c>
      <c r="J23" s="8">
        <f t="shared" si="4"/>
        <v>0.11309999999999999</v>
      </c>
      <c r="K23">
        <v>580</v>
      </c>
      <c r="L23" s="8">
        <f t="shared" si="5"/>
        <v>0.11273</v>
      </c>
    </row>
    <row r="24" spans="2:12" x14ac:dyDescent="0.3">
      <c r="B24" s="2" t="str">
        <f t="shared" ref="B24" si="6">+ROUND(C24/360,0)&amp;"A"</f>
        <v>2A</v>
      </c>
      <c r="C24">
        <v>728</v>
      </c>
      <c r="D24" s="8">
        <v>9.9729999999999999E-2</v>
      </c>
      <c r="E24">
        <v>900</v>
      </c>
      <c r="F24" s="8">
        <f t="shared" si="2"/>
        <v>9.8239999999999994E-2</v>
      </c>
      <c r="H24" s="2" t="str">
        <f t="shared" ref="H24" si="7">+ROUND(I24/360,0)&amp;"A"</f>
        <v>2A</v>
      </c>
      <c r="I24">
        <v>728</v>
      </c>
      <c r="J24" s="8">
        <f t="shared" si="4"/>
        <v>0.11273</v>
      </c>
      <c r="K24">
        <v>900</v>
      </c>
      <c r="L24" s="8">
        <f t="shared" si="5"/>
        <v>0.11123999999999999</v>
      </c>
    </row>
    <row r="25" spans="2:12" x14ac:dyDescent="0.3">
      <c r="B25" s="2" t="str">
        <f>+ROUND(C25/360,0)&amp;"A"</f>
        <v>3A</v>
      </c>
      <c r="C25" s="12">
        <v>1092</v>
      </c>
      <c r="D25" s="8">
        <v>9.8239999999999994E-2</v>
      </c>
      <c r="E25" s="12">
        <v>1260</v>
      </c>
      <c r="F25" s="8">
        <f t="shared" si="2"/>
        <v>9.8699999999999996E-2</v>
      </c>
      <c r="H25" s="2" t="str">
        <f>+ROUND(I25/360,0)&amp;"A"</f>
        <v>3A</v>
      </c>
      <c r="I25" s="12">
        <v>1092</v>
      </c>
      <c r="J25" s="8">
        <f t="shared" si="4"/>
        <v>0.11123999999999999</v>
      </c>
      <c r="K25" s="12">
        <v>1260</v>
      </c>
      <c r="L25" s="8">
        <f t="shared" si="5"/>
        <v>0.11169999999999999</v>
      </c>
    </row>
    <row r="26" spans="2:12" x14ac:dyDescent="0.3">
      <c r="B26" s="2" t="str">
        <f t="shared" ref="B26:B36" si="8">+ROUND(C26/360,0)&amp;"A"</f>
        <v>4A</v>
      </c>
      <c r="C26" s="12">
        <v>1440</v>
      </c>
      <c r="D26" s="8">
        <v>9.8699999999999996E-2</v>
      </c>
      <c r="E26" s="12">
        <v>1800</v>
      </c>
      <c r="F26" s="8">
        <f t="shared" si="2"/>
        <v>9.9739999999999995E-2</v>
      </c>
      <c r="H26" s="2" t="str">
        <f t="shared" ref="H26:H36" si="9">+ROUND(I26/360,0)&amp;"A"</f>
        <v>4A</v>
      </c>
      <c r="I26" s="12">
        <v>1440</v>
      </c>
      <c r="J26" s="8">
        <f t="shared" si="4"/>
        <v>0.11169999999999999</v>
      </c>
      <c r="K26" s="12">
        <v>1800</v>
      </c>
      <c r="L26" s="8">
        <f t="shared" si="5"/>
        <v>0.11273999999999999</v>
      </c>
    </row>
    <row r="27" spans="2:12" x14ac:dyDescent="0.3">
      <c r="B27" s="2" t="str">
        <f t="shared" si="8"/>
        <v>5A</v>
      </c>
      <c r="C27" s="12">
        <v>1800</v>
      </c>
      <c r="D27" s="8">
        <v>9.9739999999999995E-2</v>
      </c>
      <c r="E27" s="12">
        <v>2160</v>
      </c>
      <c r="F27" s="8">
        <f t="shared" si="2"/>
        <v>0.10009</v>
      </c>
      <c r="H27" s="2" t="str">
        <f t="shared" si="9"/>
        <v>5A</v>
      </c>
      <c r="I27" s="12">
        <v>1800</v>
      </c>
      <c r="J27" s="8">
        <f t="shared" si="4"/>
        <v>0.11273999999999999</v>
      </c>
      <c r="K27" s="12">
        <v>2160</v>
      </c>
      <c r="L27" s="8">
        <f t="shared" si="5"/>
        <v>0.11309</v>
      </c>
    </row>
    <row r="28" spans="2:12" x14ac:dyDescent="0.3">
      <c r="B28" s="2" t="str">
        <f t="shared" si="8"/>
        <v>6A</v>
      </c>
      <c r="C28" s="12">
        <v>2160</v>
      </c>
      <c r="D28" s="8">
        <v>0.10009</v>
      </c>
      <c r="E28" s="12">
        <v>2520</v>
      </c>
      <c r="F28" s="8">
        <f t="shared" si="2"/>
        <v>0.10044</v>
      </c>
      <c r="H28" s="2" t="str">
        <f t="shared" si="9"/>
        <v>6A</v>
      </c>
      <c r="I28" s="12">
        <v>2160</v>
      </c>
      <c r="J28" s="8">
        <f t="shared" si="4"/>
        <v>0.11309</v>
      </c>
      <c r="K28" s="12">
        <v>2520</v>
      </c>
      <c r="L28" s="8">
        <f t="shared" si="5"/>
        <v>0.11344</v>
      </c>
    </row>
    <row r="29" spans="2:12" x14ac:dyDescent="0.3">
      <c r="B29" s="2" t="str">
        <f t="shared" si="8"/>
        <v>7A</v>
      </c>
      <c r="C29" s="12">
        <v>2520</v>
      </c>
      <c r="D29" s="8">
        <v>0.10044</v>
      </c>
      <c r="E29" s="12">
        <v>2880</v>
      </c>
      <c r="F29" s="8">
        <f t="shared" si="2"/>
        <v>0.1012</v>
      </c>
      <c r="H29" s="2" t="str">
        <f t="shared" si="9"/>
        <v>7A</v>
      </c>
      <c r="I29" s="12">
        <v>2520</v>
      </c>
      <c r="J29" s="8">
        <f t="shared" si="4"/>
        <v>0.11344</v>
      </c>
      <c r="K29" s="12">
        <v>2880</v>
      </c>
      <c r="L29" s="8">
        <f t="shared" si="5"/>
        <v>0.1142</v>
      </c>
    </row>
    <row r="30" spans="2:12" x14ac:dyDescent="0.3">
      <c r="B30" s="2" t="str">
        <f t="shared" si="8"/>
        <v>8A</v>
      </c>
      <c r="C30" s="12">
        <v>2880</v>
      </c>
      <c r="D30" s="8">
        <v>0.1012</v>
      </c>
      <c r="E30" s="12">
        <v>3240</v>
      </c>
      <c r="F30" s="8">
        <f t="shared" si="2"/>
        <v>0.10273</v>
      </c>
      <c r="H30" s="2" t="str">
        <f t="shared" si="9"/>
        <v>8A</v>
      </c>
      <c r="I30" s="12">
        <v>2880</v>
      </c>
      <c r="J30" s="8">
        <f t="shared" si="4"/>
        <v>0.1142</v>
      </c>
      <c r="K30" s="12">
        <v>3240</v>
      </c>
      <c r="L30" s="8">
        <f t="shared" si="5"/>
        <v>0.11573</v>
      </c>
    </row>
    <row r="31" spans="2:12" x14ac:dyDescent="0.3">
      <c r="B31" s="2" t="str">
        <f t="shared" si="8"/>
        <v>9A</v>
      </c>
      <c r="C31" s="12">
        <v>3240</v>
      </c>
      <c r="D31" s="8">
        <v>0.10273</v>
      </c>
      <c r="E31" s="12">
        <v>3600</v>
      </c>
      <c r="F31" s="44">
        <f t="shared" si="2"/>
        <v>0.10424</v>
      </c>
      <c r="H31" s="2" t="str">
        <f t="shared" si="9"/>
        <v>9A</v>
      </c>
      <c r="I31" s="12">
        <v>3240</v>
      </c>
      <c r="J31" s="8">
        <f t="shared" si="4"/>
        <v>0.11573</v>
      </c>
      <c r="K31" s="12">
        <v>3600</v>
      </c>
      <c r="L31" s="8">
        <f t="shared" si="5"/>
        <v>0.11724</v>
      </c>
    </row>
    <row r="32" spans="2:12" x14ac:dyDescent="0.3">
      <c r="B32" s="2" t="str">
        <f t="shared" si="8"/>
        <v>10A</v>
      </c>
      <c r="C32" s="12">
        <v>3600</v>
      </c>
      <c r="D32" s="8">
        <v>0.10424</v>
      </c>
      <c r="E32" s="12">
        <v>5400</v>
      </c>
      <c r="F32" s="8">
        <f t="shared" si="2"/>
        <v>0.10544000000000001</v>
      </c>
      <c r="H32" s="2" t="str">
        <f t="shared" si="9"/>
        <v>10A</v>
      </c>
      <c r="I32" s="12">
        <v>3600</v>
      </c>
      <c r="J32" s="8">
        <f t="shared" si="4"/>
        <v>0.11724</v>
      </c>
      <c r="K32" s="12">
        <v>5400</v>
      </c>
      <c r="L32" s="8">
        <f t="shared" si="5"/>
        <v>0.11844</v>
      </c>
    </row>
    <row r="33" spans="2:12" x14ac:dyDescent="0.3">
      <c r="B33" s="2" t="str">
        <f t="shared" si="8"/>
        <v>15A</v>
      </c>
      <c r="C33" s="12">
        <v>5400</v>
      </c>
      <c r="D33" s="8">
        <v>0.10544000000000001</v>
      </c>
      <c r="E33" s="12">
        <v>7200</v>
      </c>
      <c r="F33" s="8">
        <f t="shared" si="2"/>
        <v>0.10704000000000001</v>
      </c>
      <c r="H33" s="2" t="str">
        <f t="shared" si="9"/>
        <v>15A</v>
      </c>
      <c r="I33" s="12">
        <v>5400</v>
      </c>
      <c r="J33" s="8">
        <f t="shared" si="4"/>
        <v>0.11844</v>
      </c>
      <c r="K33" s="12">
        <v>7200</v>
      </c>
      <c r="L33" s="8">
        <f t="shared" si="5"/>
        <v>0.12004000000000001</v>
      </c>
    </row>
    <row r="34" spans="2:12" x14ac:dyDescent="0.3">
      <c r="B34" s="2" t="str">
        <f t="shared" si="8"/>
        <v>20A</v>
      </c>
      <c r="C34" s="12">
        <v>7200</v>
      </c>
      <c r="D34" s="8">
        <v>0.10704000000000001</v>
      </c>
      <c r="E34" s="12">
        <v>9000</v>
      </c>
      <c r="F34" s="8">
        <f t="shared" si="2"/>
        <v>0.10724</v>
      </c>
      <c r="H34" s="2" t="str">
        <f t="shared" si="9"/>
        <v>20A</v>
      </c>
      <c r="I34" s="12">
        <v>7200</v>
      </c>
      <c r="J34" s="8">
        <f t="shared" si="4"/>
        <v>0.12004000000000001</v>
      </c>
      <c r="K34" s="12">
        <v>9000</v>
      </c>
      <c r="L34" s="8">
        <f t="shared" si="5"/>
        <v>0.12024</v>
      </c>
    </row>
    <row r="35" spans="2:12" x14ac:dyDescent="0.3">
      <c r="B35" s="2" t="str">
        <f t="shared" si="8"/>
        <v>25A</v>
      </c>
      <c r="C35" s="12">
        <v>9000</v>
      </c>
      <c r="D35" s="8">
        <v>0.10724</v>
      </c>
      <c r="E35" s="12">
        <v>10800</v>
      </c>
      <c r="F35" s="8">
        <f t="shared" si="2"/>
        <v>0.10743999999999999</v>
      </c>
      <c r="H35" s="2" t="str">
        <f t="shared" si="9"/>
        <v>25A</v>
      </c>
      <c r="I35" s="12">
        <v>9000</v>
      </c>
      <c r="J35" s="8">
        <f t="shared" si="4"/>
        <v>0.12024</v>
      </c>
      <c r="K35" s="12">
        <v>10800</v>
      </c>
      <c r="L35" s="8">
        <f t="shared" si="5"/>
        <v>0.12043999999999999</v>
      </c>
    </row>
    <row r="36" spans="2:12" x14ac:dyDescent="0.3">
      <c r="B36" s="2" t="str">
        <f t="shared" si="8"/>
        <v>30A</v>
      </c>
      <c r="C36" s="12">
        <v>10800</v>
      </c>
      <c r="D36" s="8">
        <v>0.10743999999999999</v>
      </c>
      <c r="E36" s="12">
        <v>10800</v>
      </c>
      <c r="F36" s="8">
        <f>+D36</f>
        <v>0.10743999999999999</v>
      </c>
      <c r="H36" s="2" t="str">
        <f t="shared" si="9"/>
        <v>30A</v>
      </c>
      <c r="I36" s="12">
        <v>10800</v>
      </c>
      <c r="J36" s="8">
        <f t="shared" si="4"/>
        <v>0.12043999999999999</v>
      </c>
      <c r="K36" s="12">
        <f>+I36</f>
        <v>10800</v>
      </c>
      <c r="L36" s="8">
        <f>+J36</f>
        <v>0.12043999999999999</v>
      </c>
    </row>
  </sheetData>
  <mergeCells count="2">
    <mergeCell ref="B1:F1"/>
    <mergeCell ref="H1:L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EF32-C142-43D4-9A2F-3E775888B3C9}">
  <sheetPr codeName="Hoja7"/>
  <dimension ref="A3:Y258"/>
  <sheetViews>
    <sheetView zoomScale="130" zoomScaleNormal="130" workbookViewId="0">
      <pane xSplit="4" ySplit="3" topLeftCell="Q244" activePane="bottomRight" state="frozen"/>
      <selection pane="topRight" activeCell="D1" sqref="D1"/>
      <selection pane="bottomLeft" activeCell="A3" sqref="A3"/>
      <selection pane="bottomRight" activeCell="W1" sqref="W1:W1048576"/>
    </sheetView>
  </sheetViews>
  <sheetFormatPr baseColWidth="10" defaultColWidth="8.88671875" defaultRowHeight="14.4" x14ac:dyDescent="0.3"/>
  <cols>
    <col min="1" max="1" width="4.33203125" bestFit="1" customWidth="1"/>
    <col min="2" max="2" width="11.33203125" bestFit="1" customWidth="1"/>
    <col min="3" max="5" width="10.6640625" customWidth="1"/>
    <col min="6" max="23" width="13.109375" customWidth="1"/>
    <col min="24" max="24" width="14.6640625" bestFit="1" customWidth="1"/>
    <col min="25" max="25" width="12.88671875" bestFit="1" customWidth="1"/>
  </cols>
  <sheetData>
    <row r="3" spans="1:25" x14ac:dyDescent="0.3">
      <c r="A3" s="17" t="s">
        <v>24</v>
      </c>
      <c r="B3" s="17" t="s">
        <v>25</v>
      </c>
      <c r="C3" s="17" t="s">
        <v>26</v>
      </c>
      <c r="D3" s="17" t="s">
        <v>27</v>
      </c>
      <c r="E3" s="17" t="s">
        <v>28</v>
      </c>
      <c r="F3" s="17" t="s">
        <v>16</v>
      </c>
      <c r="G3" s="17" t="s">
        <v>17</v>
      </c>
      <c r="H3" s="17" t="s">
        <v>18</v>
      </c>
      <c r="I3" s="17" t="s">
        <v>19</v>
      </c>
      <c r="J3" s="17" t="s">
        <v>20</v>
      </c>
      <c r="K3" s="18" t="s">
        <v>21</v>
      </c>
      <c r="L3" s="18" t="s">
        <v>29</v>
      </c>
      <c r="M3" s="18" t="s">
        <v>30</v>
      </c>
      <c r="N3" s="18" t="s">
        <v>38</v>
      </c>
      <c r="O3" s="18" t="s">
        <v>39</v>
      </c>
      <c r="P3" s="18" t="str">
        <f t="shared" ref="P3:U3" si="0">+F3</f>
        <v>NAFTRAC</v>
      </c>
      <c r="Q3" s="18" t="str">
        <f t="shared" si="0"/>
        <v>LACOMER</v>
      </c>
      <c r="R3" s="18" t="str">
        <f t="shared" si="0"/>
        <v>CEMEX</v>
      </c>
      <c r="S3" s="18" t="str">
        <f t="shared" si="0"/>
        <v>PEÑOLES</v>
      </c>
      <c r="T3" s="18" t="str">
        <f t="shared" si="0"/>
        <v>VOLAR</v>
      </c>
      <c r="U3" s="18" t="str">
        <f t="shared" si="0"/>
        <v>GAP</v>
      </c>
      <c r="V3" s="18" t="str">
        <f t="shared" ref="V3:Y3" si="1">+L3</f>
        <v>AMZN (USD)</v>
      </c>
      <c r="W3" s="18" t="str">
        <f t="shared" si="1"/>
        <v>TESLA (USD)</v>
      </c>
      <c r="X3" s="18" t="str">
        <f t="shared" si="1"/>
        <v>IPC (MEX)</v>
      </c>
      <c r="Y3" s="18" t="str">
        <f t="shared" si="1"/>
        <v>S&amp;P500 (USD)</v>
      </c>
    </row>
    <row r="4" spans="1:25" x14ac:dyDescent="0.3">
      <c r="A4" s="2">
        <f t="shared" ref="A4:A67" si="2">+A5-1</f>
        <v>1</v>
      </c>
      <c r="B4" s="19">
        <v>45657</v>
      </c>
      <c r="C4" s="20">
        <f t="shared" ref="C4:C67" si="3">+YEAR(B4)</f>
        <v>2024</v>
      </c>
      <c r="D4" s="20">
        <f t="shared" ref="D4:D67" si="4">+MONTH(B4)</f>
        <v>12</v>
      </c>
      <c r="E4" s="21">
        <v>20.819700000000001</v>
      </c>
      <c r="F4" s="22">
        <v>49.58</v>
      </c>
      <c r="G4" s="22">
        <v>32.799999999999997</v>
      </c>
      <c r="H4" s="22">
        <v>11.68</v>
      </c>
      <c r="I4" s="22">
        <v>266.2</v>
      </c>
      <c r="J4" s="22">
        <v>15.63</v>
      </c>
      <c r="K4" s="22">
        <v>366.54</v>
      </c>
      <c r="L4" s="22">
        <v>219.39</v>
      </c>
      <c r="M4" s="22">
        <v>403.84</v>
      </c>
      <c r="N4" s="22">
        <v>49513.27</v>
      </c>
      <c r="O4" s="22">
        <v>5881.63</v>
      </c>
      <c r="P4" s="23">
        <f>F4/F5-1</f>
        <v>1.3077237433592126E-2</v>
      </c>
      <c r="Q4" s="23">
        <f t="shared" ref="Q4:Y4" si="5">G4/G5-1</f>
        <v>1.2345679012345734E-2</v>
      </c>
      <c r="R4" s="23">
        <f t="shared" si="5"/>
        <v>2.7264731750219928E-2</v>
      </c>
      <c r="S4" s="23">
        <f t="shared" si="5"/>
        <v>2.9349213100807958E-2</v>
      </c>
      <c r="T4" s="23">
        <f t="shared" si="5"/>
        <v>8.3870967741936919E-3</v>
      </c>
      <c r="U4" s="23">
        <f t="shared" si="5"/>
        <v>1.8647694744740706E-2</v>
      </c>
      <c r="V4" s="23">
        <f t="shared" si="5"/>
        <v>-8.6308178942613445E-3</v>
      </c>
      <c r="W4" s="23">
        <f t="shared" si="5"/>
        <v>-3.2510002156153517E-2</v>
      </c>
      <c r="X4" s="23">
        <f t="shared" si="5"/>
        <v>1.383254582728255E-2</v>
      </c>
      <c r="Y4" s="23">
        <f t="shared" si="5"/>
        <v>-4.2847904329482711E-3</v>
      </c>
    </row>
    <row r="5" spans="1:25" x14ac:dyDescent="0.3">
      <c r="A5" s="2">
        <f t="shared" si="2"/>
        <v>2</v>
      </c>
      <c r="B5" s="3">
        <v>45656</v>
      </c>
      <c r="C5" s="13">
        <f t="shared" si="3"/>
        <v>2024</v>
      </c>
      <c r="D5" s="13">
        <f t="shared" si="4"/>
        <v>12</v>
      </c>
      <c r="E5" s="24">
        <v>20.637</v>
      </c>
      <c r="F5" s="25">
        <v>48.94</v>
      </c>
      <c r="G5" s="25">
        <v>32.4</v>
      </c>
      <c r="H5" s="25">
        <v>11.37</v>
      </c>
      <c r="I5" s="25">
        <v>258.61</v>
      </c>
      <c r="J5" s="25">
        <v>15.5</v>
      </c>
      <c r="K5" s="25">
        <v>359.83</v>
      </c>
      <c r="L5" s="25">
        <v>221.3</v>
      </c>
      <c r="M5" s="25">
        <v>417.41</v>
      </c>
      <c r="N5" s="25">
        <v>48837.72</v>
      </c>
      <c r="O5" s="25">
        <v>5906.94</v>
      </c>
      <c r="P5" s="23">
        <f t="shared" ref="P5:P68" si="6">F5/F6-1</f>
        <v>-1.3306451612903336E-2</v>
      </c>
      <c r="Q5" s="23">
        <f t="shared" ref="Q5:Q68" si="7">G5/G6-1</f>
        <v>-3.9963110974485794E-3</v>
      </c>
      <c r="R5" s="23">
        <f t="shared" ref="R5:R68" si="8">H5/H6-1</f>
        <v>-9.5818815331011331E-3</v>
      </c>
      <c r="S5" s="23">
        <f t="shared" ref="S5:S68" si="9">I5/I6-1</f>
        <v>-4.9786890064667855E-2</v>
      </c>
      <c r="T5" s="23">
        <f t="shared" ref="T5:T68" si="10">J5/J6-1</f>
        <v>1.2919896640826156E-3</v>
      </c>
      <c r="U5" s="23">
        <f t="shared" ref="U5:U68" si="11">K5/K6-1</f>
        <v>-4.1237684047381595E-3</v>
      </c>
      <c r="V5" s="23">
        <f t="shared" ref="V5:V68" si="12">L5/L6-1</f>
        <v>-1.0949720670391017E-2</v>
      </c>
      <c r="W5" s="23">
        <f t="shared" ref="W5:W68" si="13">M5/M6-1</f>
        <v>-3.3012092850854824E-2</v>
      </c>
      <c r="X5" s="23">
        <f t="shared" ref="X5:X68" si="14">N5/N6-1</f>
        <v>-9.1875567299065652E-3</v>
      </c>
      <c r="Y5" s="23">
        <f t="shared" ref="Y5:Y68" si="15">O5/O6-1</f>
        <v>-1.0702011777237508E-2</v>
      </c>
    </row>
    <row r="6" spans="1:25" x14ac:dyDescent="0.3">
      <c r="A6" s="2">
        <f t="shared" si="2"/>
        <v>3</v>
      </c>
      <c r="B6" s="3">
        <v>45653</v>
      </c>
      <c r="C6" s="13">
        <f t="shared" si="3"/>
        <v>2024</v>
      </c>
      <c r="D6" s="13">
        <f t="shared" si="4"/>
        <v>12</v>
      </c>
      <c r="E6" s="24">
        <v>20.312999999999999</v>
      </c>
      <c r="F6" s="25">
        <v>49.6</v>
      </c>
      <c r="G6" s="25">
        <v>32.53</v>
      </c>
      <c r="H6" s="25">
        <v>11.48</v>
      </c>
      <c r="I6" s="25">
        <v>272.16000000000003</v>
      </c>
      <c r="J6" s="25">
        <v>15.48</v>
      </c>
      <c r="K6" s="25">
        <v>361.32</v>
      </c>
      <c r="L6" s="25">
        <v>223.75</v>
      </c>
      <c r="M6" s="25">
        <v>431.66</v>
      </c>
      <c r="N6" s="25">
        <v>49290.58</v>
      </c>
      <c r="O6" s="25">
        <v>5970.84</v>
      </c>
      <c r="P6" s="23">
        <f t="shared" si="6"/>
        <v>-4.4158972300281096E-3</v>
      </c>
      <c r="Q6" s="23">
        <f t="shared" si="7"/>
        <v>-9.7412480974125026E-3</v>
      </c>
      <c r="R6" s="23">
        <f t="shared" si="8"/>
        <v>1.7452006980802626E-3</v>
      </c>
      <c r="S6" s="23">
        <f t="shared" si="9"/>
        <v>-2.1997360316761139E-3</v>
      </c>
      <c r="T6" s="23">
        <f t="shared" si="10"/>
        <v>-1.1494252873563204E-2</v>
      </c>
      <c r="U6" s="23">
        <f t="shared" si="11"/>
        <v>-6.926121372031635E-3</v>
      </c>
      <c r="V6" s="23">
        <f t="shared" si="12"/>
        <v>-1.4534243558687598E-2</v>
      </c>
      <c r="W6" s="23">
        <f t="shared" si="13"/>
        <v>-4.9479224010745781E-2</v>
      </c>
      <c r="X6" s="23">
        <f t="shared" si="14"/>
        <v>-4.9459398678687316E-3</v>
      </c>
      <c r="Y6" s="23">
        <f t="shared" si="15"/>
        <v>-1.1055735815118317E-2</v>
      </c>
    </row>
    <row r="7" spans="1:25" x14ac:dyDescent="0.3">
      <c r="A7" s="2">
        <f t="shared" si="2"/>
        <v>4</v>
      </c>
      <c r="B7" s="3">
        <v>45652</v>
      </c>
      <c r="C7" s="13">
        <f t="shared" si="3"/>
        <v>2024</v>
      </c>
      <c r="D7" s="13">
        <f t="shared" si="4"/>
        <v>12</v>
      </c>
      <c r="E7" s="24">
        <v>20.236000000000001</v>
      </c>
      <c r="F7" s="25">
        <v>49.82</v>
      </c>
      <c r="G7" s="25">
        <v>32.85</v>
      </c>
      <c r="H7" s="25">
        <v>11.46</v>
      </c>
      <c r="I7" s="25">
        <v>272.76</v>
      </c>
      <c r="J7" s="25">
        <v>15.66</v>
      </c>
      <c r="K7" s="25">
        <v>363.84</v>
      </c>
      <c r="L7" s="25">
        <v>227.05</v>
      </c>
      <c r="M7" s="25">
        <v>454.13</v>
      </c>
      <c r="N7" s="25">
        <v>49535.58</v>
      </c>
      <c r="O7" s="25">
        <v>6037.59</v>
      </c>
      <c r="P7" s="23">
        <f t="shared" si="6"/>
        <v>3.8283296393311073E-3</v>
      </c>
      <c r="Q7" s="23">
        <f t="shared" si="7"/>
        <v>1.5243902439026069E-3</v>
      </c>
      <c r="R7" s="23">
        <f t="shared" si="8"/>
        <v>1.1473962930273585E-2</v>
      </c>
      <c r="S7" s="23">
        <f t="shared" si="9"/>
        <v>-8.9022927945932029E-3</v>
      </c>
      <c r="T7" s="23">
        <f t="shared" si="10"/>
        <v>3.8461538461538325E-3</v>
      </c>
      <c r="U7" s="23">
        <f t="shared" si="11"/>
        <v>-8.5129754222157406E-4</v>
      </c>
      <c r="V7" s="23">
        <f t="shared" si="12"/>
        <v>-8.7317179655097554E-3</v>
      </c>
      <c r="W7" s="23">
        <f t="shared" si="13"/>
        <v>-1.7630007787488022E-2</v>
      </c>
      <c r="X7" s="23">
        <f t="shared" si="14"/>
        <v>4.4398825385842944E-3</v>
      </c>
      <c r="Y7" s="23">
        <f t="shared" si="15"/>
        <v>-4.0562645280495246E-4</v>
      </c>
    </row>
    <row r="8" spans="1:25" x14ac:dyDescent="0.3">
      <c r="A8" s="2">
        <f t="shared" si="2"/>
        <v>5</v>
      </c>
      <c r="B8" s="3">
        <v>45650</v>
      </c>
      <c r="C8" s="13">
        <f t="shared" si="3"/>
        <v>2024</v>
      </c>
      <c r="D8" s="13">
        <f t="shared" si="4"/>
        <v>12</v>
      </c>
      <c r="E8" s="24">
        <v>20.149999999999999</v>
      </c>
      <c r="F8" s="25">
        <v>49.63</v>
      </c>
      <c r="G8" s="25">
        <v>32.799999999999997</v>
      </c>
      <c r="H8" s="25">
        <v>11.33</v>
      </c>
      <c r="I8" s="25">
        <v>275.20999999999998</v>
      </c>
      <c r="J8" s="25">
        <v>15.6</v>
      </c>
      <c r="K8" s="25">
        <v>364.15</v>
      </c>
      <c r="L8" s="25">
        <v>229.05</v>
      </c>
      <c r="M8" s="25">
        <v>462.28</v>
      </c>
      <c r="N8" s="25">
        <v>49316.62</v>
      </c>
      <c r="O8" s="25">
        <v>6040.04</v>
      </c>
      <c r="P8" s="23">
        <f t="shared" si="6"/>
        <v>-3.0132583366814236E-3</v>
      </c>
      <c r="Q8" s="23">
        <f t="shared" si="7"/>
        <v>-1.2180267965896663E-3</v>
      </c>
      <c r="R8" s="23">
        <f t="shared" si="8"/>
        <v>1.1607142857142927E-2</v>
      </c>
      <c r="S8" s="23">
        <f t="shared" si="9"/>
        <v>-6.2468404708602154E-3</v>
      </c>
      <c r="T8" s="23">
        <f t="shared" si="10"/>
        <v>-8.8945362134689177E-3</v>
      </c>
      <c r="U8" s="23">
        <f t="shared" si="11"/>
        <v>-8.3061002178649312E-3</v>
      </c>
      <c r="V8" s="23">
        <f t="shared" si="12"/>
        <v>1.7728605705145339E-2</v>
      </c>
      <c r="W8" s="23">
        <f t="shared" si="13"/>
        <v>7.3571760334417036E-2</v>
      </c>
      <c r="X8" s="23">
        <f t="shared" si="14"/>
        <v>-2.715219078968989E-3</v>
      </c>
      <c r="Y8" s="23">
        <f t="shared" si="15"/>
        <v>1.1042722967758989E-2</v>
      </c>
    </row>
    <row r="9" spans="1:25" x14ac:dyDescent="0.3">
      <c r="A9" s="2">
        <f t="shared" si="2"/>
        <v>6</v>
      </c>
      <c r="B9" s="3">
        <v>45649</v>
      </c>
      <c r="C9" s="13">
        <f t="shared" si="3"/>
        <v>2024</v>
      </c>
      <c r="D9" s="13">
        <f t="shared" si="4"/>
        <v>12</v>
      </c>
      <c r="E9" s="24">
        <v>20.167899999999999</v>
      </c>
      <c r="F9" s="25">
        <v>49.78</v>
      </c>
      <c r="G9" s="25">
        <v>32.840000000000003</v>
      </c>
      <c r="H9" s="25">
        <v>11.2</v>
      </c>
      <c r="I9" s="25">
        <v>276.94</v>
      </c>
      <c r="J9" s="25">
        <v>15.74</v>
      </c>
      <c r="K9" s="25">
        <v>367.2</v>
      </c>
      <c r="L9" s="25">
        <v>225.06</v>
      </c>
      <c r="M9" s="25">
        <v>430.6</v>
      </c>
      <c r="N9" s="25">
        <v>49450.89</v>
      </c>
      <c r="O9" s="25">
        <v>5974.07</v>
      </c>
      <c r="P9" s="23">
        <f t="shared" si="6"/>
        <v>-3.4034034034033933E-3</v>
      </c>
      <c r="Q9" s="23">
        <f t="shared" si="7"/>
        <v>-2.6962962962962855E-2</v>
      </c>
      <c r="R9" s="23">
        <f t="shared" si="8"/>
        <v>-8.8495575221240186E-3</v>
      </c>
      <c r="S9" s="23">
        <f t="shared" si="9"/>
        <v>-1.5919266576647106E-2</v>
      </c>
      <c r="T9" s="23">
        <f t="shared" si="10"/>
        <v>-1.1927181418706856E-2</v>
      </c>
      <c r="U9" s="23">
        <f t="shared" si="11"/>
        <v>1.0540220711671155E-2</v>
      </c>
      <c r="V9" s="23">
        <f t="shared" si="12"/>
        <v>6.224435354793556E-4</v>
      </c>
      <c r="W9" s="23">
        <f t="shared" si="13"/>
        <v>2.2657103500688835E-2</v>
      </c>
      <c r="X9" s="23">
        <f t="shared" si="14"/>
        <v>-2.7289845301747828E-3</v>
      </c>
      <c r="Y9" s="23">
        <f t="shared" si="15"/>
        <v>7.2873196927927264E-3</v>
      </c>
    </row>
    <row r="10" spans="1:25" x14ac:dyDescent="0.3">
      <c r="A10" s="2">
        <f t="shared" si="2"/>
        <v>7</v>
      </c>
      <c r="B10" s="3">
        <v>45646</v>
      </c>
      <c r="C10" s="13">
        <f t="shared" si="3"/>
        <v>2024</v>
      </c>
      <c r="D10" s="13">
        <f t="shared" si="4"/>
        <v>12</v>
      </c>
      <c r="E10" s="24">
        <v>20.050999999999998</v>
      </c>
      <c r="F10" s="25">
        <v>49.95</v>
      </c>
      <c r="G10" s="25">
        <v>33.75</v>
      </c>
      <c r="H10" s="25">
        <v>11.3</v>
      </c>
      <c r="I10" s="25">
        <v>281.42</v>
      </c>
      <c r="J10" s="25">
        <v>15.93</v>
      </c>
      <c r="K10" s="25">
        <v>363.37</v>
      </c>
      <c r="L10" s="25">
        <v>224.92</v>
      </c>
      <c r="M10" s="25">
        <v>421.06</v>
      </c>
      <c r="N10" s="25">
        <v>49586.21</v>
      </c>
      <c r="O10" s="25">
        <v>5930.85</v>
      </c>
      <c r="P10" s="23">
        <f t="shared" si="6"/>
        <v>3.0120481927711218E-3</v>
      </c>
      <c r="Q10" s="23">
        <f t="shared" si="7"/>
        <v>2.0783847980998527E-3</v>
      </c>
      <c r="R10" s="23">
        <f t="shared" si="8"/>
        <v>-3.5273368606700828E-3</v>
      </c>
      <c r="S10" s="23">
        <f t="shared" si="9"/>
        <v>1.8862459722674974E-2</v>
      </c>
      <c r="T10" s="23">
        <f t="shared" si="10"/>
        <v>-2.8065893837705969E-2</v>
      </c>
      <c r="U10" s="23">
        <f t="shared" si="11"/>
        <v>-8.1613713287477241E-3</v>
      </c>
      <c r="V10" s="23">
        <f t="shared" si="12"/>
        <v>7.2999238658246757E-3</v>
      </c>
      <c r="W10" s="23">
        <f t="shared" si="13"/>
        <v>-3.4642455923149296E-2</v>
      </c>
      <c r="X10" s="23">
        <f t="shared" si="14"/>
        <v>6.7352262647430994E-3</v>
      </c>
      <c r="Y10" s="23">
        <f t="shared" si="15"/>
        <v>1.0869120584686254E-2</v>
      </c>
    </row>
    <row r="11" spans="1:25" x14ac:dyDescent="0.3">
      <c r="A11" s="2">
        <f t="shared" si="2"/>
        <v>8</v>
      </c>
      <c r="B11" s="3">
        <v>45645</v>
      </c>
      <c r="C11" s="13">
        <f t="shared" si="3"/>
        <v>2024</v>
      </c>
      <c r="D11" s="13">
        <f t="shared" si="4"/>
        <v>12</v>
      </c>
      <c r="E11" s="24">
        <v>20.29</v>
      </c>
      <c r="F11" s="25">
        <v>49.8</v>
      </c>
      <c r="G11" s="25">
        <v>33.68</v>
      </c>
      <c r="H11" s="25">
        <v>11.34</v>
      </c>
      <c r="I11" s="25">
        <v>276.20999999999998</v>
      </c>
      <c r="J11" s="25">
        <v>16.39</v>
      </c>
      <c r="K11" s="25">
        <v>366.36</v>
      </c>
      <c r="L11" s="25">
        <v>223.29</v>
      </c>
      <c r="M11" s="25">
        <v>436.17</v>
      </c>
      <c r="N11" s="25">
        <v>49254.47</v>
      </c>
      <c r="O11" s="25">
        <v>5867.08</v>
      </c>
      <c r="P11" s="23">
        <f t="shared" si="6"/>
        <v>-1.0727056019070424E-2</v>
      </c>
      <c r="Q11" s="23">
        <f t="shared" si="7"/>
        <v>8.0814127506736444E-3</v>
      </c>
      <c r="R11" s="23">
        <f t="shared" si="8"/>
        <v>8.8261253309784848E-4</v>
      </c>
      <c r="S11" s="23">
        <f t="shared" si="9"/>
        <v>-5.9134107708553429E-2</v>
      </c>
      <c r="T11" s="23">
        <f t="shared" si="10"/>
        <v>0</v>
      </c>
      <c r="U11" s="23">
        <f t="shared" si="11"/>
        <v>-2.021822849807442E-2</v>
      </c>
      <c r="V11" s="23">
        <f t="shared" si="12"/>
        <v>1.2561218937057861E-2</v>
      </c>
      <c r="W11" s="23">
        <f t="shared" si="13"/>
        <v>-8.9973416944992834E-3</v>
      </c>
      <c r="X11" s="23">
        <f t="shared" si="14"/>
        <v>-1.4288418849978113E-2</v>
      </c>
      <c r="Y11" s="23">
        <f t="shared" si="15"/>
        <v>-8.6509904362275236E-4</v>
      </c>
    </row>
    <row r="12" spans="1:25" x14ac:dyDescent="0.3">
      <c r="A12" s="2">
        <f t="shared" si="2"/>
        <v>9</v>
      </c>
      <c r="B12" s="3">
        <v>45644</v>
      </c>
      <c r="C12" s="13">
        <f t="shared" si="3"/>
        <v>2024</v>
      </c>
      <c r="D12" s="13">
        <f t="shared" si="4"/>
        <v>12</v>
      </c>
      <c r="E12" s="24">
        <v>20.350000000000001</v>
      </c>
      <c r="F12" s="25">
        <v>50.34</v>
      </c>
      <c r="G12" s="25">
        <v>33.409999999999997</v>
      </c>
      <c r="H12" s="25">
        <v>11.33</v>
      </c>
      <c r="I12" s="25">
        <v>293.57</v>
      </c>
      <c r="J12" s="25">
        <v>16.39</v>
      </c>
      <c r="K12" s="25">
        <v>373.92</v>
      </c>
      <c r="L12" s="25">
        <v>220.52</v>
      </c>
      <c r="M12" s="25">
        <v>440.13</v>
      </c>
      <c r="N12" s="25">
        <v>49968.44</v>
      </c>
      <c r="O12" s="25">
        <v>5872.16</v>
      </c>
      <c r="P12" s="23">
        <f t="shared" si="6"/>
        <v>-9.445100354191216E-3</v>
      </c>
      <c r="Q12" s="23">
        <f t="shared" si="7"/>
        <v>-1.7930629041740365E-2</v>
      </c>
      <c r="R12" s="23">
        <f t="shared" si="8"/>
        <v>3.5429583702393241E-3</v>
      </c>
      <c r="S12" s="23">
        <f t="shared" si="9"/>
        <v>-2.7334172685706704E-2</v>
      </c>
      <c r="T12" s="23">
        <f t="shared" si="10"/>
        <v>-2.4985127900059356E-2</v>
      </c>
      <c r="U12" s="23">
        <f t="shared" si="11"/>
        <v>-1.0217586955370783E-2</v>
      </c>
      <c r="V12" s="23">
        <f t="shared" si="12"/>
        <v>-4.5987454034176922E-2</v>
      </c>
      <c r="W12" s="23">
        <f t="shared" si="13"/>
        <v>-8.2794981869712014E-2</v>
      </c>
      <c r="X12" s="23">
        <f t="shared" si="14"/>
        <v>-1.0532602354756282E-2</v>
      </c>
      <c r="Y12" s="23">
        <f t="shared" si="15"/>
        <v>-2.9492894104891865E-2</v>
      </c>
    </row>
    <row r="13" spans="1:25" x14ac:dyDescent="0.3">
      <c r="A13" s="2">
        <f t="shared" si="2"/>
        <v>10</v>
      </c>
      <c r="B13" s="3">
        <v>45643</v>
      </c>
      <c r="C13" s="13">
        <f t="shared" si="3"/>
        <v>2024</v>
      </c>
      <c r="D13" s="13">
        <f t="shared" si="4"/>
        <v>12</v>
      </c>
      <c r="E13" s="24">
        <v>20.167000000000002</v>
      </c>
      <c r="F13" s="25">
        <v>50.82</v>
      </c>
      <c r="G13" s="25">
        <v>34.020000000000003</v>
      </c>
      <c r="H13" s="25">
        <v>11.29</v>
      </c>
      <c r="I13" s="25">
        <v>301.82</v>
      </c>
      <c r="J13" s="25">
        <v>16.809999999999999</v>
      </c>
      <c r="K13" s="25">
        <v>377.78</v>
      </c>
      <c r="L13" s="25">
        <v>231.15</v>
      </c>
      <c r="M13" s="25">
        <v>479.86</v>
      </c>
      <c r="N13" s="25">
        <v>50500.34</v>
      </c>
      <c r="O13" s="25">
        <v>6050.61</v>
      </c>
      <c r="P13" s="23">
        <f t="shared" si="6"/>
        <v>-4.1152263374485409E-3</v>
      </c>
      <c r="Q13" s="23">
        <f t="shared" si="7"/>
        <v>5.0221565731167761E-3</v>
      </c>
      <c r="R13" s="23">
        <f t="shared" si="8"/>
        <v>8.936550491510209E-3</v>
      </c>
      <c r="S13" s="23">
        <f t="shared" si="9"/>
        <v>-3.6672943729852303E-2</v>
      </c>
      <c r="T13" s="23">
        <f t="shared" si="10"/>
        <v>-4.7365304914152029E-3</v>
      </c>
      <c r="U13" s="23">
        <f t="shared" si="11"/>
        <v>-1.9286148318407026E-3</v>
      </c>
      <c r="V13" s="23">
        <f t="shared" si="12"/>
        <v>-7.6417807925127645E-3</v>
      </c>
      <c r="W13" s="23">
        <f t="shared" si="13"/>
        <v>3.6369919225951453E-2</v>
      </c>
      <c r="X13" s="23">
        <f t="shared" si="14"/>
        <v>-6.8651703667081954E-3</v>
      </c>
      <c r="Y13" s="23">
        <f t="shared" si="15"/>
        <v>-3.8639596449174807E-3</v>
      </c>
    </row>
    <row r="14" spans="1:25" x14ac:dyDescent="0.3">
      <c r="A14" s="2">
        <f t="shared" si="2"/>
        <v>11</v>
      </c>
      <c r="B14" s="3">
        <v>45642</v>
      </c>
      <c r="C14" s="13">
        <f t="shared" si="3"/>
        <v>2024</v>
      </c>
      <c r="D14" s="13">
        <f t="shared" si="4"/>
        <v>12</v>
      </c>
      <c r="E14" s="24">
        <v>20.123000000000001</v>
      </c>
      <c r="F14" s="25">
        <v>51.03</v>
      </c>
      <c r="G14" s="25">
        <v>33.85</v>
      </c>
      <c r="H14" s="25">
        <v>11.19</v>
      </c>
      <c r="I14" s="25">
        <v>313.31</v>
      </c>
      <c r="J14" s="25">
        <v>16.89</v>
      </c>
      <c r="K14" s="25">
        <v>378.51</v>
      </c>
      <c r="L14" s="25">
        <v>232.93</v>
      </c>
      <c r="M14" s="25">
        <v>463.02</v>
      </c>
      <c r="N14" s="25">
        <v>50849.43</v>
      </c>
      <c r="O14" s="25">
        <v>6074.08</v>
      </c>
      <c r="P14" s="23">
        <f t="shared" si="6"/>
        <v>-1.6194331983805599E-2</v>
      </c>
      <c r="Q14" s="23">
        <f t="shared" si="7"/>
        <v>4.7491837340458698E-3</v>
      </c>
      <c r="R14" s="23">
        <f t="shared" si="8"/>
        <v>-5.3333333333334121E-3</v>
      </c>
      <c r="S14" s="23">
        <f t="shared" si="9"/>
        <v>-5.2126822774853365E-2</v>
      </c>
      <c r="T14" s="23">
        <f t="shared" si="10"/>
        <v>0</v>
      </c>
      <c r="U14" s="23">
        <f t="shared" si="11"/>
        <v>-1.0820225905204817E-3</v>
      </c>
      <c r="V14" s="23">
        <f t="shared" si="12"/>
        <v>2.4048184296139974E-2</v>
      </c>
      <c r="W14" s="23">
        <f t="shared" si="13"/>
        <v>6.1412557595763584E-2</v>
      </c>
      <c r="X14" s="23">
        <f t="shared" si="14"/>
        <v>-1.4922970374711242E-2</v>
      </c>
      <c r="Y14" s="23">
        <f t="shared" si="15"/>
        <v>3.7993154952247199E-3</v>
      </c>
    </row>
    <row r="15" spans="1:25" x14ac:dyDescent="0.3">
      <c r="A15" s="2">
        <f t="shared" si="2"/>
        <v>12</v>
      </c>
      <c r="B15" s="3">
        <v>45639</v>
      </c>
      <c r="C15" s="13">
        <f t="shared" si="3"/>
        <v>2024</v>
      </c>
      <c r="D15" s="13">
        <f t="shared" si="4"/>
        <v>12</v>
      </c>
      <c r="E15" s="24">
        <v>20.121600000000001</v>
      </c>
      <c r="F15" s="25">
        <v>51.87</v>
      </c>
      <c r="G15" s="25">
        <v>33.69</v>
      </c>
      <c r="H15" s="25">
        <v>11.25</v>
      </c>
      <c r="I15" s="25">
        <v>330.54</v>
      </c>
      <c r="J15" s="25">
        <v>16.89</v>
      </c>
      <c r="K15" s="25">
        <v>378.92</v>
      </c>
      <c r="L15" s="25">
        <v>227.46</v>
      </c>
      <c r="M15" s="25">
        <v>436.23</v>
      </c>
      <c r="N15" s="25">
        <v>51619.75</v>
      </c>
      <c r="O15" s="25">
        <v>6051.09</v>
      </c>
      <c r="P15" s="23">
        <f t="shared" si="6"/>
        <v>7.575757575757569E-3</v>
      </c>
      <c r="Q15" s="23">
        <f t="shared" si="7"/>
        <v>-1.8356643356643443E-2</v>
      </c>
      <c r="R15" s="23">
        <f t="shared" si="8"/>
        <v>1.1690647482014427E-2</v>
      </c>
      <c r="S15" s="23">
        <f t="shared" si="9"/>
        <v>-1.3460677510819252E-2</v>
      </c>
      <c r="T15" s="23">
        <f t="shared" si="10"/>
        <v>-1.5160349854227317E-2</v>
      </c>
      <c r="U15" s="23">
        <f t="shared" si="11"/>
        <v>-1.0265116886509107E-2</v>
      </c>
      <c r="V15" s="23">
        <f t="shared" si="12"/>
        <v>-1.2160166768001357E-2</v>
      </c>
      <c r="W15" s="23">
        <f t="shared" si="13"/>
        <v>2.6979306448195572E-2</v>
      </c>
      <c r="X15" s="23">
        <f t="shared" si="14"/>
        <v>6.4342303158488878E-3</v>
      </c>
      <c r="Y15" s="23">
        <f t="shared" si="15"/>
        <v>-5.4403297727387834E-3</v>
      </c>
    </row>
    <row r="16" spans="1:25" x14ac:dyDescent="0.3">
      <c r="A16" s="2">
        <f t="shared" si="2"/>
        <v>13</v>
      </c>
      <c r="B16" s="3">
        <v>45637</v>
      </c>
      <c r="C16" s="13">
        <f t="shared" si="3"/>
        <v>2024</v>
      </c>
      <c r="D16" s="13">
        <f t="shared" si="4"/>
        <v>12</v>
      </c>
      <c r="E16" s="24">
        <v>20.11</v>
      </c>
      <c r="F16" s="25">
        <v>51.48</v>
      </c>
      <c r="G16" s="25">
        <v>34.32</v>
      </c>
      <c r="H16" s="25">
        <v>11.12</v>
      </c>
      <c r="I16" s="25">
        <v>335.05</v>
      </c>
      <c r="J16" s="25">
        <v>17.149999999999999</v>
      </c>
      <c r="K16" s="25">
        <v>382.85</v>
      </c>
      <c r="L16" s="25">
        <v>230.26</v>
      </c>
      <c r="M16" s="25">
        <v>424.77</v>
      </c>
      <c r="N16" s="25">
        <v>51289.74</v>
      </c>
      <c r="O16" s="25">
        <v>6084.19</v>
      </c>
      <c r="P16" s="23">
        <f t="shared" si="6"/>
        <v>-2.5188916876575096E-3</v>
      </c>
      <c r="Q16" s="23">
        <f t="shared" si="7"/>
        <v>3.215434083601254E-3</v>
      </c>
      <c r="R16" s="23">
        <f t="shared" si="8"/>
        <v>-3.472222222222221E-2</v>
      </c>
      <c r="S16" s="23">
        <f t="shared" si="9"/>
        <v>7.6085648983521548E-3</v>
      </c>
      <c r="T16" s="23">
        <f t="shared" si="10"/>
        <v>1.4792899408283988E-2</v>
      </c>
      <c r="U16" s="23">
        <f t="shared" si="11"/>
        <v>-2.8693931398416916E-2</v>
      </c>
      <c r="V16" s="23">
        <f t="shared" si="12"/>
        <v>2.3195876288659711E-2</v>
      </c>
      <c r="W16" s="23">
        <f t="shared" si="13"/>
        <v>5.9303224519314579E-2</v>
      </c>
      <c r="X16" s="23">
        <f t="shared" si="14"/>
        <v>-1.7038659890130647E-3</v>
      </c>
      <c r="Y16" s="23">
        <f t="shared" si="15"/>
        <v>8.1658218598121834E-3</v>
      </c>
    </row>
    <row r="17" spans="1:25" x14ac:dyDescent="0.3">
      <c r="A17" s="2">
        <f t="shared" si="2"/>
        <v>14</v>
      </c>
      <c r="B17" s="3">
        <v>45636</v>
      </c>
      <c r="C17" s="13">
        <f t="shared" si="3"/>
        <v>2024</v>
      </c>
      <c r="D17" s="13">
        <f t="shared" si="4"/>
        <v>12</v>
      </c>
      <c r="E17" s="24">
        <v>20.146999999999998</v>
      </c>
      <c r="F17" s="25">
        <v>51.61</v>
      </c>
      <c r="G17" s="25">
        <v>34.21</v>
      </c>
      <c r="H17" s="25">
        <v>11.52</v>
      </c>
      <c r="I17" s="25">
        <v>332.52</v>
      </c>
      <c r="J17" s="25">
        <v>16.899999999999999</v>
      </c>
      <c r="K17" s="25">
        <v>394.16</v>
      </c>
      <c r="L17" s="25">
        <v>225.04</v>
      </c>
      <c r="M17" s="25">
        <v>400.99</v>
      </c>
      <c r="N17" s="25">
        <v>51377.279999999999</v>
      </c>
      <c r="O17" s="25">
        <v>6034.91</v>
      </c>
      <c r="P17" s="23">
        <f t="shared" si="6"/>
        <v>-1.488833746898266E-2</v>
      </c>
      <c r="Q17" s="23">
        <f t="shared" si="7"/>
        <v>7.9552150854449444E-3</v>
      </c>
      <c r="R17" s="23">
        <f t="shared" si="8"/>
        <v>-2.9486099410278022E-2</v>
      </c>
      <c r="S17" s="23">
        <f t="shared" si="9"/>
        <v>-1.0150924299705322E-2</v>
      </c>
      <c r="T17" s="23">
        <f t="shared" si="10"/>
        <v>1.7783046828687699E-3</v>
      </c>
      <c r="U17" s="23">
        <f t="shared" si="11"/>
        <v>-1.0145655449522728E-2</v>
      </c>
      <c r="V17" s="23">
        <f t="shared" si="12"/>
        <v>-4.6441682515813154E-3</v>
      </c>
      <c r="W17" s="23">
        <f t="shared" si="13"/>
        <v>2.8733420559788669E-2</v>
      </c>
      <c r="X17" s="23">
        <f t="shared" si="14"/>
        <v>-1.5585158116353415E-2</v>
      </c>
      <c r="Y17" s="23">
        <f t="shared" si="15"/>
        <v>-2.9638930421207466E-3</v>
      </c>
    </row>
    <row r="18" spans="1:25" x14ac:dyDescent="0.3">
      <c r="A18" s="2">
        <f t="shared" si="2"/>
        <v>15</v>
      </c>
      <c r="B18" s="3">
        <v>45635</v>
      </c>
      <c r="C18" s="13">
        <f t="shared" si="3"/>
        <v>2024</v>
      </c>
      <c r="D18" s="13">
        <f t="shared" si="4"/>
        <v>12</v>
      </c>
      <c r="E18" s="24">
        <v>20.224</v>
      </c>
      <c r="F18" s="25">
        <v>52.39</v>
      </c>
      <c r="G18" s="25">
        <v>33.94</v>
      </c>
      <c r="H18" s="25">
        <v>11.87</v>
      </c>
      <c r="I18" s="25">
        <v>335.93</v>
      </c>
      <c r="J18" s="25">
        <v>16.87</v>
      </c>
      <c r="K18" s="25">
        <v>398.2</v>
      </c>
      <c r="L18" s="25">
        <v>226.09</v>
      </c>
      <c r="M18" s="25">
        <v>389.79</v>
      </c>
      <c r="N18" s="25">
        <v>52190.68</v>
      </c>
      <c r="O18" s="25">
        <v>6052.85</v>
      </c>
      <c r="P18" s="23">
        <f t="shared" si="6"/>
        <v>1.9459038723486977E-2</v>
      </c>
      <c r="Q18" s="23">
        <f t="shared" si="7"/>
        <v>1.4042426053181956E-2</v>
      </c>
      <c r="R18" s="23">
        <f t="shared" si="8"/>
        <v>1.2798634812286602E-2</v>
      </c>
      <c r="S18" s="23">
        <f t="shared" si="9"/>
        <v>8.5115317526972101E-2</v>
      </c>
      <c r="T18" s="23">
        <f t="shared" si="10"/>
        <v>-9.3951849677040844E-3</v>
      </c>
      <c r="U18" s="23">
        <f t="shared" si="11"/>
        <v>2.5839194167503798E-2</v>
      </c>
      <c r="V18" s="23">
        <f t="shared" si="12"/>
        <v>-4.140421970664665E-3</v>
      </c>
      <c r="W18" s="23">
        <f t="shared" si="13"/>
        <v>1.4644673963311039E-3</v>
      </c>
      <c r="X18" s="23">
        <f t="shared" si="14"/>
        <v>1.6395319851681078E-2</v>
      </c>
      <c r="Y18" s="23">
        <f t="shared" si="15"/>
        <v>-6.1442267748391677E-3</v>
      </c>
    </row>
    <row r="19" spans="1:25" x14ac:dyDescent="0.3">
      <c r="A19" s="2">
        <f t="shared" si="2"/>
        <v>16</v>
      </c>
      <c r="B19" s="3">
        <v>45632</v>
      </c>
      <c r="C19" s="13">
        <f t="shared" si="3"/>
        <v>2024</v>
      </c>
      <c r="D19" s="13">
        <f t="shared" si="4"/>
        <v>12</v>
      </c>
      <c r="E19" s="24">
        <v>20.187000000000001</v>
      </c>
      <c r="F19" s="25">
        <v>51.39</v>
      </c>
      <c r="G19" s="25">
        <v>33.47</v>
      </c>
      <c r="H19" s="25">
        <v>11.72</v>
      </c>
      <c r="I19" s="25">
        <v>309.58</v>
      </c>
      <c r="J19" s="25">
        <v>17.03</v>
      </c>
      <c r="K19" s="25">
        <v>388.17</v>
      </c>
      <c r="L19" s="25">
        <v>227.03</v>
      </c>
      <c r="M19" s="25">
        <v>389.22</v>
      </c>
      <c r="N19" s="25">
        <v>51348.800000000003</v>
      </c>
      <c r="O19" s="25">
        <v>6090.27</v>
      </c>
      <c r="P19" s="23">
        <f t="shared" si="6"/>
        <v>-8.4892919158787716E-3</v>
      </c>
      <c r="Q19" s="23">
        <f t="shared" si="7"/>
        <v>-1.1518015357353861E-2</v>
      </c>
      <c r="R19" s="23">
        <f t="shared" si="8"/>
        <v>-5.9372349448684192E-3</v>
      </c>
      <c r="S19" s="23">
        <f t="shared" si="9"/>
        <v>-9.5975430289846342E-3</v>
      </c>
      <c r="T19" s="23">
        <f t="shared" si="10"/>
        <v>-5.8685446009376641E-4</v>
      </c>
      <c r="U19" s="23">
        <f t="shared" si="11"/>
        <v>-2.6776983828507017E-2</v>
      </c>
      <c r="V19" s="23">
        <f t="shared" si="12"/>
        <v>2.9381092722738478E-2</v>
      </c>
      <c r="W19" s="23">
        <f t="shared" si="13"/>
        <v>5.339792687217515E-2</v>
      </c>
      <c r="X19" s="23">
        <f t="shared" si="14"/>
        <v>-7.8837888866475359E-3</v>
      </c>
      <c r="Y19" s="23">
        <f t="shared" si="15"/>
        <v>2.4954280663231909E-3</v>
      </c>
    </row>
    <row r="20" spans="1:25" x14ac:dyDescent="0.3">
      <c r="A20" s="2">
        <f t="shared" si="2"/>
        <v>17</v>
      </c>
      <c r="B20" s="3">
        <v>45631</v>
      </c>
      <c r="C20" s="13">
        <f t="shared" si="3"/>
        <v>2024</v>
      </c>
      <c r="D20" s="13">
        <f t="shared" si="4"/>
        <v>12</v>
      </c>
      <c r="E20" s="24">
        <v>20.18</v>
      </c>
      <c r="F20" s="25">
        <v>51.83</v>
      </c>
      <c r="G20" s="25">
        <v>33.86</v>
      </c>
      <c r="H20" s="25">
        <v>11.79</v>
      </c>
      <c r="I20" s="25">
        <v>312.58</v>
      </c>
      <c r="J20" s="25">
        <v>17.04</v>
      </c>
      <c r="K20" s="25">
        <v>398.85</v>
      </c>
      <c r="L20" s="25">
        <v>220.55</v>
      </c>
      <c r="M20" s="25">
        <v>369.49</v>
      </c>
      <c r="N20" s="25">
        <v>51756.84</v>
      </c>
      <c r="O20" s="25">
        <v>6075.11</v>
      </c>
      <c r="P20" s="23">
        <f t="shared" si="6"/>
        <v>1.0528368102943997E-2</v>
      </c>
      <c r="Q20" s="23">
        <f t="shared" si="7"/>
        <v>3.420891875381793E-2</v>
      </c>
      <c r="R20" s="23">
        <f t="shared" si="8"/>
        <v>6.8317677198974636E-3</v>
      </c>
      <c r="S20" s="23">
        <f t="shared" si="9"/>
        <v>3.4177005789908899E-2</v>
      </c>
      <c r="T20" s="23">
        <f t="shared" si="10"/>
        <v>3.5236938031591558E-2</v>
      </c>
      <c r="U20" s="23">
        <f t="shared" si="11"/>
        <v>6.3883702320618907E-2</v>
      </c>
      <c r="V20" s="23">
        <f t="shared" si="12"/>
        <v>1.0955262192886117E-2</v>
      </c>
      <c r="W20" s="23">
        <f t="shared" si="13"/>
        <v>3.2296817813538992E-2</v>
      </c>
      <c r="X20" s="23">
        <f t="shared" si="14"/>
        <v>9.8935020234223181E-3</v>
      </c>
      <c r="Y20" s="23">
        <f t="shared" si="15"/>
        <v>-1.8697147288503357E-3</v>
      </c>
    </row>
    <row r="21" spans="1:25" x14ac:dyDescent="0.3">
      <c r="A21" s="2">
        <f t="shared" si="2"/>
        <v>18</v>
      </c>
      <c r="B21" s="3">
        <v>45630</v>
      </c>
      <c r="C21" s="13">
        <f t="shared" si="3"/>
        <v>2024</v>
      </c>
      <c r="D21" s="13">
        <f t="shared" si="4"/>
        <v>12</v>
      </c>
      <c r="E21" s="24">
        <v>20.277000000000001</v>
      </c>
      <c r="F21" s="25">
        <v>51.29</v>
      </c>
      <c r="G21" s="25">
        <v>32.74</v>
      </c>
      <c r="H21" s="25">
        <v>11.71</v>
      </c>
      <c r="I21" s="25">
        <v>302.25</v>
      </c>
      <c r="J21" s="25">
        <v>16.46</v>
      </c>
      <c r="K21" s="25">
        <v>374.9</v>
      </c>
      <c r="L21" s="25">
        <v>218.16</v>
      </c>
      <c r="M21" s="25">
        <v>357.93</v>
      </c>
      <c r="N21" s="25">
        <v>51249.8</v>
      </c>
      <c r="O21" s="25">
        <v>6086.49</v>
      </c>
      <c r="P21" s="23">
        <f t="shared" si="6"/>
        <v>7.0685254270568265E-3</v>
      </c>
      <c r="Q21" s="23">
        <f t="shared" si="7"/>
        <v>2.4494794856093627E-3</v>
      </c>
      <c r="R21" s="23">
        <f t="shared" si="8"/>
        <v>7.7452667814115195E-3</v>
      </c>
      <c r="S21" s="23">
        <f t="shared" si="9"/>
        <v>5.8571000698857123E-3</v>
      </c>
      <c r="T21" s="23">
        <f t="shared" si="10"/>
        <v>3.2622333751568533E-2</v>
      </c>
      <c r="U21" s="23">
        <f t="shared" si="11"/>
        <v>5.5790998336999742E-3</v>
      </c>
      <c r="V21" s="23">
        <f t="shared" si="12"/>
        <v>2.2113943028485794E-2</v>
      </c>
      <c r="W21" s="23">
        <f t="shared" si="13"/>
        <v>1.8524842069318703E-2</v>
      </c>
      <c r="X21" s="23">
        <f t="shared" si="14"/>
        <v>8.2973853418761845E-3</v>
      </c>
      <c r="Y21" s="23">
        <f t="shared" si="15"/>
        <v>6.0513596963907013E-3</v>
      </c>
    </row>
    <row r="22" spans="1:25" x14ac:dyDescent="0.3">
      <c r="A22" s="2">
        <f t="shared" si="2"/>
        <v>19</v>
      </c>
      <c r="B22" s="3">
        <v>45629</v>
      </c>
      <c r="C22" s="13">
        <f t="shared" si="3"/>
        <v>2024</v>
      </c>
      <c r="D22" s="13">
        <f t="shared" si="4"/>
        <v>12</v>
      </c>
      <c r="E22" s="24">
        <v>20.3</v>
      </c>
      <c r="F22" s="25">
        <v>50.93</v>
      </c>
      <c r="G22" s="25">
        <v>32.659999999999997</v>
      </c>
      <c r="H22" s="25">
        <v>11.62</v>
      </c>
      <c r="I22" s="25">
        <v>300.49</v>
      </c>
      <c r="J22" s="25">
        <v>15.94</v>
      </c>
      <c r="K22" s="25">
        <v>372.82</v>
      </c>
      <c r="L22" s="25">
        <v>213.44</v>
      </c>
      <c r="M22" s="25">
        <v>351.42</v>
      </c>
      <c r="N22" s="25">
        <v>50828.06</v>
      </c>
      <c r="O22" s="25">
        <v>6049.88</v>
      </c>
      <c r="P22" s="23">
        <f t="shared" si="6"/>
        <v>8.7145969498909626E-3</v>
      </c>
      <c r="Q22" s="23">
        <f t="shared" si="7"/>
        <v>-5.4811205846531097E-3</v>
      </c>
      <c r="R22" s="23">
        <f t="shared" si="8"/>
        <v>0</v>
      </c>
      <c r="S22" s="23">
        <f t="shared" si="9"/>
        <v>4.9160591264798548E-3</v>
      </c>
      <c r="T22" s="23">
        <f t="shared" si="10"/>
        <v>1.8530351437699544E-2</v>
      </c>
      <c r="U22" s="23">
        <f t="shared" si="11"/>
        <v>4.3642241379311386E-3</v>
      </c>
      <c r="V22" s="23">
        <f t="shared" si="12"/>
        <v>1.2956195719235009E-2</v>
      </c>
      <c r="W22" s="23">
        <f t="shared" si="13"/>
        <v>-1.587834999579929E-2</v>
      </c>
      <c r="X22" s="23">
        <f t="shared" si="14"/>
        <v>8.2097949842276918E-3</v>
      </c>
      <c r="Y22" s="23">
        <f t="shared" si="15"/>
        <v>4.5145233705135013E-4</v>
      </c>
    </row>
    <row r="23" spans="1:25" x14ac:dyDescent="0.3">
      <c r="A23" s="2">
        <f t="shared" si="2"/>
        <v>20</v>
      </c>
      <c r="B23" s="3">
        <v>45628</v>
      </c>
      <c r="C23" s="13">
        <f t="shared" si="3"/>
        <v>2024</v>
      </c>
      <c r="D23" s="13">
        <f t="shared" si="4"/>
        <v>12</v>
      </c>
      <c r="E23" s="24">
        <v>20.376999999999999</v>
      </c>
      <c r="F23" s="25">
        <v>50.49</v>
      </c>
      <c r="G23" s="25">
        <v>32.840000000000003</v>
      </c>
      <c r="H23" s="25">
        <v>11.62</v>
      </c>
      <c r="I23" s="25">
        <v>299.02</v>
      </c>
      <c r="J23" s="25">
        <v>15.65</v>
      </c>
      <c r="K23" s="25">
        <v>371.2</v>
      </c>
      <c r="L23" s="25">
        <v>210.71</v>
      </c>
      <c r="M23" s="25">
        <v>357.09</v>
      </c>
      <c r="N23" s="25">
        <v>50414.17</v>
      </c>
      <c r="O23" s="25">
        <v>6047.15</v>
      </c>
      <c r="P23" s="23">
        <f t="shared" si="6"/>
        <v>6.9804547267651174E-3</v>
      </c>
      <c r="Q23" s="23">
        <f t="shared" si="7"/>
        <v>3.0459945172123248E-4</v>
      </c>
      <c r="R23" s="23">
        <f t="shared" si="8"/>
        <v>4.3087971274685666E-2</v>
      </c>
      <c r="S23" s="23">
        <f t="shared" si="9"/>
        <v>2.0128275109170257E-2</v>
      </c>
      <c r="T23" s="23">
        <f t="shared" si="10"/>
        <v>6.4308681672025081E-3</v>
      </c>
      <c r="U23" s="23">
        <f t="shared" si="11"/>
        <v>-1.0950947216967322E-2</v>
      </c>
      <c r="V23" s="23">
        <f t="shared" si="12"/>
        <v>1.3564866034922352E-2</v>
      </c>
      <c r="W23" s="23">
        <f t="shared" si="13"/>
        <v>3.456368061189008E-2</v>
      </c>
      <c r="X23" s="23">
        <f t="shared" si="14"/>
        <v>1.2075850627471185E-2</v>
      </c>
      <c r="Y23" s="23">
        <f t="shared" si="15"/>
        <v>2.4484531809998433E-3</v>
      </c>
    </row>
    <row r="24" spans="1:25" x14ac:dyDescent="0.3">
      <c r="A24" s="2">
        <f t="shared" si="2"/>
        <v>21</v>
      </c>
      <c r="B24" s="3">
        <v>45625</v>
      </c>
      <c r="C24" s="13">
        <f t="shared" si="3"/>
        <v>2024</v>
      </c>
      <c r="D24" s="13">
        <f t="shared" si="4"/>
        <v>11</v>
      </c>
      <c r="E24" s="24">
        <v>20.361000000000001</v>
      </c>
      <c r="F24" s="25">
        <v>50.14</v>
      </c>
      <c r="G24" s="25">
        <v>32.83</v>
      </c>
      <c r="H24" s="25">
        <v>11.14</v>
      </c>
      <c r="I24" s="25">
        <v>293.12</v>
      </c>
      <c r="J24" s="25">
        <v>15.55</v>
      </c>
      <c r="K24" s="25">
        <v>375.31</v>
      </c>
      <c r="L24" s="25">
        <v>207.89</v>
      </c>
      <c r="M24" s="25">
        <v>345.16</v>
      </c>
      <c r="N24" s="25">
        <v>49812.639999999999</v>
      </c>
      <c r="O24" s="25">
        <v>6032.38</v>
      </c>
      <c r="P24" s="23">
        <f t="shared" si="6"/>
        <v>-5.1587301587301404E-3</v>
      </c>
      <c r="Q24" s="23">
        <f t="shared" si="7"/>
        <v>0</v>
      </c>
      <c r="R24" s="23">
        <f t="shared" si="8"/>
        <v>-8.0142475512021694E-3</v>
      </c>
      <c r="S24" s="23">
        <f t="shared" si="9"/>
        <v>2.0009047569335747E-2</v>
      </c>
      <c r="T24" s="23">
        <f t="shared" si="10"/>
        <v>-2.1397105097545666E-2</v>
      </c>
      <c r="U24" s="23">
        <f t="shared" si="11"/>
        <v>-4.7467515247945347E-3</v>
      </c>
      <c r="V24" s="23">
        <f t="shared" si="12"/>
        <v>1.0450082628560287E-2</v>
      </c>
      <c r="W24" s="23">
        <f t="shared" si="13"/>
        <v>3.6859022499925009E-2</v>
      </c>
      <c r="X24" s="23">
        <f t="shared" si="14"/>
        <v>-2.5756253295119436E-3</v>
      </c>
      <c r="Y24" s="23">
        <f t="shared" si="15"/>
        <v>5.6078443139726541E-3</v>
      </c>
    </row>
    <row r="25" spans="1:25" x14ac:dyDescent="0.3">
      <c r="A25" s="2">
        <f t="shared" si="2"/>
        <v>22</v>
      </c>
      <c r="B25" s="3">
        <v>45624</v>
      </c>
      <c r="C25" s="13">
        <f t="shared" si="3"/>
        <v>2024</v>
      </c>
      <c r="D25" s="13">
        <f t="shared" si="4"/>
        <v>11</v>
      </c>
      <c r="E25" s="24">
        <v>20.41</v>
      </c>
      <c r="F25" s="25">
        <v>50.4</v>
      </c>
      <c r="G25" s="25">
        <v>32.83</v>
      </c>
      <c r="H25" s="25">
        <v>11.23</v>
      </c>
      <c r="I25" s="25">
        <v>287.37</v>
      </c>
      <c r="J25" s="25">
        <v>15.89</v>
      </c>
      <c r="K25" s="25">
        <v>377.1</v>
      </c>
      <c r="L25" s="25">
        <v>205.74</v>
      </c>
      <c r="M25" s="25">
        <v>332.89</v>
      </c>
      <c r="N25" s="25">
        <v>49941.27</v>
      </c>
      <c r="O25" s="25">
        <v>5998.74</v>
      </c>
      <c r="P25" s="23">
        <f t="shared" si="6"/>
        <v>3.9840637450199168E-3</v>
      </c>
      <c r="Q25" s="23">
        <f t="shared" si="7"/>
        <v>6.7463968107941419E-3</v>
      </c>
      <c r="R25" s="23">
        <f t="shared" si="8"/>
        <v>4.472271914132353E-3</v>
      </c>
      <c r="S25" s="23">
        <f t="shared" si="9"/>
        <v>1.6447368421052655E-2</v>
      </c>
      <c r="T25" s="23">
        <f t="shared" si="10"/>
        <v>3.1565656565657463E-3</v>
      </c>
      <c r="U25" s="23">
        <f t="shared" si="11"/>
        <v>-1.970468961214511E-2</v>
      </c>
      <c r="V25" s="23">
        <f t="shared" si="12"/>
        <v>0</v>
      </c>
      <c r="W25" s="23">
        <f t="shared" si="13"/>
        <v>0</v>
      </c>
      <c r="X25" s="23">
        <f t="shared" si="14"/>
        <v>3.0820791109149592E-3</v>
      </c>
      <c r="Y25" s="23">
        <f t="shared" si="15"/>
        <v>0</v>
      </c>
    </row>
    <row r="26" spans="1:25" x14ac:dyDescent="0.3">
      <c r="A26" s="2">
        <f t="shared" si="2"/>
        <v>23</v>
      </c>
      <c r="B26" s="3">
        <v>45623</v>
      </c>
      <c r="C26" s="13">
        <f t="shared" si="3"/>
        <v>2024</v>
      </c>
      <c r="D26" s="13">
        <f t="shared" si="4"/>
        <v>11</v>
      </c>
      <c r="E26" s="24">
        <v>20.58</v>
      </c>
      <c r="F26" s="25">
        <v>50.2</v>
      </c>
      <c r="G26" s="25">
        <v>32.61</v>
      </c>
      <c r="H26" s="25">
        <v>11.18</v>
      </c>
      <c r="I26" s="25">
        <v>282.72000000000003</v>
      </c>
      <c r="J26" s="25">
        <v>15.84</v>
      </c>
      <c r="K26" s="25">
        <v>384.68</v>
      </c>
      <c r="L26" s="25">
        <v>205.74</v>
      </c>
      <c r="M26" s="25">
        <v>332.89</v>
      </c>
      <c r="N26" s="25">
        <v>49787.82</v>
      </c>
      <c r="O26" s="25">
        <v>5998.74</v>
      </c>
      <c r="P26" s="23">
        <f t="shared" si="6"/>
        <v>3.1974420463629638E-3</v>
      </c>
      <c r="Q26" s="23">
        <f t="shared" si="7"/>
        <v>7.1031500926497237E-3</v>
      </c>
      <c r="R26" s="23">
        <f t="shared" si="8"/>
        <v>-3.5650623885918886E-3</v>
      </c>
      <c r="S26" s="23">
        <f t="shared" si="9"/>
        <v>2.0539291773454371E-2</v>
      </c>
      <c r="T26" s="23">
        <f t="shared" si="10"/>
        <v>4.4388078630310801E-3</v>
      </c>
      <c r="U26" s="23">
        <f t="shared" si="11"/>
        <v>2.1889278503878451E-2</v>
      </c>
      <c r="V26" s="23">
        <f t="shared" si="12"/>
        <v>-1.0199172519965383E-2</v>
      </c>
      <c r="W26" s="23">
        <f t="shared" si="13"/>
        <v>-1.5788073204624165E-2</v>
      </c>
      <c r="X26" s="23">
        <f t="shared" si="14"/>
        <v>1.3267808820467408E-3</v>
      </c>
      <c r="Y26" s="23">
        <f t="shared" si="15"/>
        <v>-3.8012963267421984E-3</v>
      </c>
    </row>
    <row r="27" spans="1:25" x14ac:dyDescent="0.3">
      <c r="A27" s="2">
        <f t="shared" si="2"/>
        <v>24</v>
      </c>
      <c r="B27" s="3">
        <v>45622</v>
      </c>
      <c r="C27" s="13">
        <f t="shared" si="3"/>
        <v>2024</v>
      </c>
      <c r="D27" s="13">
        <f t="shared" si="4"/>
        <v>11</v>
      </c>
      <c r="E27" s="24">
        <v>20.626000000000001</v>
      </c>
      <c r="F27" s="25">
        <v>50.04</v>
      </c>
      <c r="G27" s="25">
        <v>32.380000000000003</v>
      </c>
      <c r="H27" s="25">
        <v>11.22</v>
      </c>
      <c r="I27" s="25">
        <v>277.02999999999997</v>
      </c>
      <c r="J27" s="25">
        <v>15.77</v>
      </c>
      <c r="K27" s="25">
        <v>376.44</v>
      </c>
      <c r="L27" s="25">
        <v>207.86</v>
      </c>
      <c r="M27" s="25">
        <v>338.23</v>
      </c>
      <c r="N27" s="25">
        <v>49721.85</v>
      </c>
      <c r="O27" s="25">
        <v>6021.63</v>
      </c>
      <c r="P27" s="23">
        <f t="shared" si="6"/>
        <v>-4.7732696897374582E-3</v>
      </c>
      <c r="Q27" s="23">
        <f t="shared" si="7"/>
        <v>-1.819284414796829E-2</v>
      </c>
      <c r="R27" s="23">
        <f t="shared" si="8"/>
        <v>-4.3478260869565188E-2</v>
      </c>
      <c r="S27" s="23">
        <f t="shared" si="9"/>
        <v>-5.7400476352500895E-2</v>
      </c>
      <c r="T27" s="23">
        <f t="shared" si="10"/>
        <v>-8.7994971715902315E-3</v>
      </c>
      <c r="U27" s="23">
        <f t="shared" si="11"/>
        <v>1.3566355438512367E-3</v>
      </c>
      <c r="V27" s="23">
        <f t="shared" si="12"/>
        <v>3.1819310002482171E-2</v>
      </c>
      <c r="W27" s="23">
        <f t="shared" si="13"/>
        <v>-1.0632328184528861E-3</v>
      </c>
      <c r="X27" s="23">
        <f t="shared" si="14"/>
        <v>-9.6665457012323763E-3</v>
      </c>
      <c r="Y27" s="23">
        <f t="shared" si="15"/>
        <v>5.722044904524104E-3</v>
      </c>
    </row>
    <row r="28" spans="1:25" x14ac:dyDescent="0.3">
      <c r="A28" s="2">
        <f t="shared" si="2"/>
        <v>25</v>
      </c>
      <c r="B28" s="3">
        <v>45621</v>
      </c>
      <c r="C28" s="13">
        <f t="shared" si="3"/>
        <v>2024</v>
      </c>
      <c r="D28" s="13">
        <f t="shared" si="4"/>
        <v>11</v>
      </c>
      <c r="E28" s="24">
        <v>20.28</v>
      </c>
      <c r="F28" s="25">
        <v>50.28</v>
      </c>
      <c r="G28" s="25">
        <v>32.979999999999997</v>
      </c>
      <c r="H28" s="25">
        <v>11.73</v>
      </c>
      <c r="I28" s="25">
        <v>293.89999999999998</v>
      </c>
      <c r="J28" s="25">
        <v>15.91</v>
      </c>
      <c r="K28" s="25">
        <v>375.93</v>
      </c>
      <c r="L28" s="25">
        <v>201.45</v>
      </c>
      <c r="M28" s="25">
        <v>338.59</v>
      </c>
      <c r="N28" s="25">
        <v>50207.18</v>
      </c>
      <c r="O28" s="25">
        <v>5987.37</v>
      </c>
      <c r="P28" s="23">
        <f t="shared" si="6"/>
        <v>-6.9128974916058405E-3</v>
      </c>
      <c r="Q28" s="23">
        <f t="shared" si="7"/>
        <v>-4.8196248196248237E-2</v>
      </c>
      <c r="R28" s="23">
        <f t="shared" si="8"/>
        <v>3.5304501323918824E-2</v>
      </c>
      <c r="S28" s="23">
        <f t="shared" si="9"/>
        <v>-3.8222396753714305E-2</v>
      </c>
      <c r="T28" s="23">
        <f t="shared" si="10"/>
        <v>-3.7570444583594487E-3</v>
      </c>
      <c r="U28" s="23">
        <f t="shared" si="11"/>
        <v>-2.6530124956888335E-3</v>
      </c>
      <c r="V28" s="23">
        <f t="shared" si="12"/>
        <v>2.1966314935064846E-2</v>
      </c>
      <c r="W28" s="23">
        <f t="shared" si="13"/>
        <v>-3.962446108463813E-2</v>
      </c>
      <c r="X28" s="23">
        <f t="shared" si="14"/>
        <v>-4.4187965818771602E-3</v>
      </c>
      <c r="Y28" s="23">
        <f t="shared" si="15"/>
        <v>3.0204344198856425E-3</v>
      </c>
    </row>
    <row r="29" spans="1:25" x14ac:dyDescent="0.3">
      <c r="A29" s="2">
        <f t="shared" si="2"/>
        <v>26</v>
      </c>
      <c r="B29" s="3">
        <v>45618</v>
      </c>
      <c r="C29" s="13">
        <f t="shared" si="3"/>
        <v>2024</v>
      </c>
      <c r="D29" s="13">
        <f t="shared" si="4"/>
        <v>11</v>
      </c>
      <c r="E29" s="24">
        <v>20.401</v>
      </c>
      <c r="F29" s="25">
        <v>50.63</v>
      </c>
      <c r="G29" s="25">
        <v>34.65</v>
      </c>
      <c r="H29" s="25">
        <v>11.33</v>
      </c>
      <c r="I29" s="25">
        <v>305.58</v>
      </c>
      <c r="J29" s="25">
        <v>15.97</v>
      </c>
      <c r="K29" s="25">
        <v>376.93</v>
      </c>
      <c r="L29" s="25">
        <v>197.12</v>
      </c>
      <c r="M29" s="25">
        <v>352.56</v>
      </c>
      <c r="N29" s="25">
        <v>50430.02</v>
      </c>
      <c r="O29" s="25">
        <v>5969.34</v>
      </c>
      <c r="P29" s="23">
        <f t="shared" si="6"/>
        <v>2.5742574257425765E-3</v>
      </c>
      <c r="Q29" s="23">
        <f t="shared" si="7"/>
        <v>-3.1645569620253333E-3</v>
      </c>
      <c r="R29" s="23">
        <f t="shared" si="8"/>
        <v>1.8884892086330929E-2</v>
      </c>
      <c r="S29" s="23">
        <f t="shared" si="9"/>
        <v>1.6803646890493518E-2</v>
      </c>
      <c r="T29" s="23">
        <f t="shared" si="10"/>
        <v>-2.6219512195121863E-2</v>
      </c>
      <c r="U29" s="23">
        <f t="shared" si="11"/>
        <v>1.9832251082251062E-2</v>
      </c>
      <c r="V29" s="23">
        <f t="shared" si="12"/>
        <v>-6.3514467184191403E-3</v>
      </c>
      <c r="W29" s="23">
        <f t="shared" si="13"/>
        <v>3.8040277941349787E-2</v>
      </c>
      <c r="X29" s="23">
        <f t="shared" si="14"/>
        <v>5.0898222687796313E-3</v>
      </c>
      <c r="Y29" s="23">
        <f t="shared" si="15"/>
        <v>3.4679787718681077E-3</v>
      </c>
    </row>
    <row r="30" spans="1:25" x14ac:dyDescent="0.3">
      <c r="A30" s="2">
        <f t="shared" si="2"/>
        <v>27</v>
      </c>
      <c r="B30" s="3">
        <v>45617</v>
      </c>
      <c r="C30" s="13">
        <f t="shared" si="3"/>
        <v>2024</v>
      </c>
      <c r="D30" s="13">
        <f t="shared" si="4"/>
        <v>11</v>
      </c>
      <c r="E30" s="24">
        <v>20.402999999999999</v>
      </c>
      <c r="F30" s="25">
        <v>50.5</v>
      </c>
      <c r="G30" s="25">
        <v>34.76</v>
      </c>
      <c r="H30" s="25">
        <v>11.12</v>
      </c>
      <c r="I30" s="25">
        <v>300.52999999999997</v>
      </c>
      <c r="J30" s="25">
        <v>16.399999999999999</v>
      </c>
      <c r="K30" s="25">
        <v>369.6</v>
      </c>
      <c r="L30" s="25">
        <v>198.38</v>
      </c>
      <c r="M30" s="25">
        <v>339.64</v>
      </c>
      <c r="N30" s="25">
        <v>50174.64</v>
      </c>
      <c r="O30" s="25">
        <v>5948.71</v>
      </c>
      <c r="P30" s="23">
        <f t="shared" si="6"/>
        <v>1.7853600476096521E-3</v>
      </c>
      <c r="Q30" s="23">
        <f t="shared" si="7"/>
        <v>-9.9686698946169772E-3</v>
      </c>
      <c r="R30" s="23">
        <f t="shared" si="8"/>
        <v>9.0744101633393193E-3</v>
      </c>
      <c r="S30" s="23">
        <f t="shared" si="9"/>
        <v>-1.5107819361604546E-2</v>
      </c>
      <c r="T30" s="23">
        <f t="shared" si="10"/>
        <v>1.8326206475258733E-3</v>
      </c>
      <c r="U30" s="23">
        <f t="shared" si="11"/>
        <v>4.7573739295909689E-3</v>
      </c>
      <c r="V30" s="23">
        <f t="shared" si="12"/>
        <v>-2.2180599369085119E-2</v>
      </c>
      <c r="W30" s="23">
        <f t="shared" si="13"/>
        <v>-6.9876911382041884E-3</v>
      </c>
      <c r="X30" s="23">
        <f t="shared" si="14"/>
        <v>1.148122102785365E-4</v>
      </c>
      <c r="Y30" s="23">
        <f t="shared" si="15"/>
        <v>5.3404449131417842E-3</v>
      </c>
    </row>
    <row r="31" spans="1:25" x14ac:dyDescent="0.3">
      <c r="A31" s="2">
        <f t="shared" si="2"/>
        <v>28</v>
      </c>
      <c r="B31" s="3">
        <v>45616</v>
      </c>
      <c r="C31" s="13">
        <f t="shared" si="3"/>
        <v>2024</v>
      </c>
      <c r="D31" s="13">
        <f t="shared" si="4"/>
        <v>11</v>
      </c>
      <c r="E31" s="24">
        <v>20.254999999999999</v>
      </c>
      <c r="F31" s="25">
        <v>50.41</v>
      </c>
      <c r="G31" s="25">
        <v>35.11</v>
      </c>
      <c r="H31" s="25">
        <v>11.02</v>
      </c>
      <c r="I31" s="25">
        <v>305.14</v>
      </c>
      <c r="J31" s="25">
        <v>16.37</v>
      </c>
      <c r="K31" s="25">
        <v>367.85</v>
      </c>
      <c r="L31" s="25">
        <v>202.88</v>
      </c>
      <c r="M31" s="25">
        <v>342.03</v>
      </c>
      <c r="N31" s="25">
        <v>50168.88</v>
      </c>
      <c r="O31" s="25">
        <v>5917.11</v>
      </c>
      <c r="P31" s="23">
        <f t="shared" si="6"/>
        <v>-1.7821782178218948E-3</v>
      </c>
      <c r="Q31" s="23">
        <f t="shared" si="7"/>
        <v>-5.9456398640996833E-3</v>
      </c>
      <c r="R31" s="23">
        <f t="shared" si="8"/>
        <v>8.2342177493137658E-3</v>
      </c>
      <c r="S31" s="23">
        <f t="shared" si="9"/>
        <v>9.841228185278883E-4</v>
      </c>
      <c r="T31" s="23">
        <f t="shared" si="10"/>
        <v>-1.6225961538461564E-2</v>
      </c>
      <c r="U31" s="23">
        <f t="shared" si="11"/>
        <v>-1.6555392715625894E-3</v>
      </c>
      <c r="V31" s="23">
        <f t="shared" si="12"/>
        <v>-8.4551097209325521E-3</v>
      </c>
      <c r="W31" s="23">
        <f t="shared" si="13"/>
        <v>-1.1473988439306471E-2</v>
      </c>
      <c r="X31" s="23">
        <f t="shared" si="14"/>
        <v>-1.0656599445666437E-3</v>
      </c>
      <c r="Y31" s="23">
        <f t="shared" si="15"/>
        <v>2.1970667468895755E-5</v>
      </c>
    </row>
    <row r="32" spans="1:25" x14ac:dyDescent="0.3">
      <c r="A32" s="2">
        <f t="shared" si="2"/>
        <v>29</v>
      </c>
      <c r="B32" s="3">
        <v>45615</v>
      </c>
      <c r="C32" s="13">
        <f t="shared" si="3"/>
        <v>2024</v>
      </c>
      <c r="D32" s="13">
        <f t="shared" si="4"/>
        <v>11</v>
      </c>
      <c r="E32" s="24">
        <v>20.094999999999999</v>
      </c>
      <c r="F32" s="25">
        <v>50.5</v>
      </c>
      <c r="G32" s="25">
        <v>35.32</v>
      </c>
      <c r="H32" s="25">
        <v>10.93</v>
      </c>
      <c r="I32" s="25">
        <v>304.83999999999997</v>
      </c>
      <c r="J32" s="25">
        <v>16.64</v>
      </c>
      <c r="K32" s="25">
        <v>368.46</v>
      </c>
      <c r="L32" s="25">
        <v>204.61</v>
      </c>
      <c r="M32" s="25">
        <v>346</v>
      </c>
      <c r="N32" s="25">
        <v>50222.400000000001</v>
      </c>
      <c r="O32" s="25">
        <v>5916.98</v>
      </c>
      <c r="P32" s="23">
        <f t="shared" si="6"/>
        <v>-1.9762845849802257E-3</v>
      </c>
      <c r="Q32" s="23">
        <f t="shared" si="7"/>
        <v>-1.9161344071091269E-2</v>
      </c>
      <c r="R32" s="23">
        <f t="shared" si="8"/>
        <v>-2.4107142857142771E-2</v>
      </c>
      <c r="S32" s="23">
        <f t="shared" si="9"/>
        <v>-3.2793336394054684E-4</v>
      </c>
      <c r="T32" s="23">
        <f t="shared" si="10"/>
        <v>9.0964220739844226E-3</v>
      </c>
      <c r="U32" s="23">
        <f t="shared" si="11"/>
        <v>1.3254867451325536E-2</v>
      </c>
      <c r="V32" s="23">
        <f t="shared" si="12"/>
        <v>9.8711810868170602E-3</v>
      </c>
      <c r="W32" s="23">
        <f t="shared" si="13"/>
        <v>7.8822649039660631E-2</v>
      </c>
      <c r="X32" s="23">
        <f t="shared" si="14"/>
        <v>-4.8940546152718145E-3</v>
      </c>
      <c r="Y32" s="23">
        <f t="shared" si="15"/>
        <v>7.8969512589810442E-3</v>
      </c>
    </row>
    <row r="33" spans="1:25" x14ac:dyDescent="0.3">
      <c r="A33" s="2">
        <f t="shared" si="2"/>
        <v>30</v>
      </c>
      <c r="B33" s="3">
        <v>45611</v>
      </c>
      <c r="C33" s="13">
        <f t="shared" si="3"/>
        <v>2024</v>
      </c>
      <c r="D33" s="13">
        <f t="shared" si="4"/>
        <v>11</v>
      </c>
      <c r="E33" s="24">
        <v>20.300999999999998</v>
      </c>
      <c r="F33" s="25">
        <v>50.6</v>
      </c>
      <c r="G33" s="25">
        <v>36.01</v>
      </c>
      <c r="H33" s="25">
        <v>11.2</v>
      </c>
      <c r="I33" s="25">
        <v>304.94</v>
      </c>
      <c r="J33" s="25">
        <v>16.489999999999998</v>
      </c>
      <c r="K33" s="25">
        <v>363.64</v>
      </c>
      <c r="L33" s="25">
        <v>202.61</v>
      </c>
      <c r="M33" s="25">
        <v>320.72000000000003</v>
      </c>
      <c r="N33" s="25">
        <v>50469.4</v>
      </c>
      <c r="O33" s="25">
        <v>5870.62</v>
      </c>
      <c r="P33" s="23">
        <f t="shared" si="6"/>
        <v>-3.1520882584711307E-3</v>
      </c>
      <c r="Q33" s="23">
        <f t="shared" si="7"/>
        <v>2.4758110415480816E-2</v>
      </c>
      <c r="R33" s="23">
        <f t="shared" si="8"/>
        <v>2.1897810218977964E-2</v>
      </c>
      <c r="S33" s="23">
        <f t="shared" si="9"/>
        <v>8.1961396537042486E-2</v>
      </c>
      <c r="T33" s="23">
        <f t="shared" si="10"/>
        <v>-1.1983223487118222E-2</v>
      </c>
      <c r="U33" s="23">
        <f t="shared" si="11"/>
        <v>-2.304653204565521E-3</v>
      </c>
      <c r="V33" s="23">
        <f t="shared" si="12"/>
        <v>-4.1942500472857858E-2</v>
      </c>
      <c r="W33" s="23">
        <f t="shared" si="13"/>
        <v>3.0657497268462119E-2</v>
      </c>
      <c r="X33" s="23">
        <f t="shared" si="14"/>
        <v>-1.6598319674814288E-3</v>
      </c>
      <c r="Y33" s="23">
        <f t="shared" si="15"/>
        <v>-1.3203522508181798E-2</v>
      </c>
    </row>
    <row r="34" spans="1:25" x14ac:dyDescent="0.3">
      <c r="A34" s="2">
        <f t="shared" si="2"/>
        <v>31</v>
      </c>
      <c r="B34" s="3">
        <v>45610</v>
      </c>
      <c r="C34" s="13">
        <f t="shared" si="3"/>
        <v>2024</v>
      </c>
      <c r="D34" s="13">
        <f t="shared" si="4"/>
        <v>11</v>
      </c>
      <c r="E34" s="24">
        <v>20.402000000000001</v>
      </c>
      <c r="F34" s="25">
        <v>50.76</v>
      </c>
      <c r="G34" s="25">
        <v>35.14</v>
      </c>
      <c r="H34" s="25">
        <v>10.96</v>
      </c>
      <c r="I34" s="25">
        <v>281.83999999999997</v>
      </c>
      <c r="J34" s="25">
        <v>16.690000000000001</v>
      </c>
      <c r="K34" s="25">
        <v>364.48</v>
      </c>
      <c r="L34" s="25">
        <v>211.48</v>
      </c>
      <c r="M34" s="25">
        <v>311.18</v>
      </c>
      <c r="N34" s="25">
        <v>50553.31</v>
      </c>
      <c r="O34" s="25">
        <v>5949.17</v>
      </c>
      <c r="P34" s="23">
        <f t="shared" si="6"/>
        <v>-2.3584905660378741E-3</v>
      </c>
      <c r="Q34" s="23">
        <f t="shared" si="7"/>
        <v>-1.1370096645820782E-3</v>
      </c>
      <c r="R34" s="23">
        <f t="shared" si="8"/>
        <v>1.8281535648996261E-3</v>
      </c>
      <c r="S34" s="23">
        <f t="shared" si="9"/>
        <v>-1.8970378363326379E-2</v>
      </c>
      <c r="T34" s="23">
        <f t="shared" si="10"/>
        <v>5.1007556675062959E-2</v>
      </c>
      <c r="U34" s="23">
        <f t="shared" si="11"/>
        <v>2.2412970910824948E-2</v>
      </c>
      <c r="V34" s="23">
        <f t="shared" si="12"/>
        <v>-1.2237272302662361E-2</v>
      </c>
      <c r="W34" s="23">
        <f t="shared" si="13"/>
        <v>-5.7715600775193776E-2</v>
      </c>
      <c r="X34" s="23">
        <f t="shared" si="14"/>
        <v>-3.8291443363955846E-3</v>
      </c>
      <c r="Y34" s="23">
        <f t="shared" si="15"/>
        <v>-6.0497412027306074E-3</v>
      </c>
    </row>
    <row r="35" spans="1:25" x14ac:dyDescent="0.3">
      <c r="A35" s="2">
        <f t="shared" si="2"/>
        <v>32</v>
      </c>
      <c r="B35" s="3">
        <v>45609</v>
      </c>
      <c r="C35" s="13">
        <f t="shared" si="3"/>
        <v>2024</v>
      </c>
      <c r="D35" s="13">
        <f t="shared" si="4"/>
        <v>11</v>
      </c>
      <c r="E35" s="24">
        <v>20.492000000000001</v>
      </c>
      <c r="F35" s="25">
        <v>50.88</v>
      </c>
      <c r="G35" s="25">
        <v>35.18</v>
      </c>
      <c r="H35" s="25">
        <v>10.94</v>
      </c>
      <c r="I35" s="25">
        <v>287.29000000000002</v>
      </c>
      <c r="J35" s="25">
        <v>15.88</v>
      </c>
      <c r="K35" s="25">
        <v>356.49</v>
      </c>
      <c r="L35" s="25">
        <v>214.1</v>
      </c>
      <c r="M35" s="25">
        <v>330.24</v>
      </c>
      <c r="N35" s="25">
        <v>50747.63</v>
      </c>
      <c r="O35" s="25">
        <v>5985.38</v>
      </c>
      <c r="P35" s="23">
        <f t="shared" si="6"/>
        <v>-5.0840829096596707E-3</v>
      </c>
      <c r="Q35" s="23">
        <f t="shared" si="7"/>
        <v>-5.090497737556543E-3</v>
      </c>
      <c r="R35" s="23">
        <f t="shared" si="8"/>
        <v>-3.0141843971631221E-2</v>
      </c>
      <c r="S35" s="23">
        <f t="shared" si="9"/>
        <v>1.4227211748923274E-2</v>
      </c>
      <c r="T35" s="23">
        <f t="shared" si="10"/>
        <v>-6.2932662051606858E-4</v>
      </c>
      <c r="U35" s="23">
        <f t="shared" si="11"/>
        <v>1.0951979780959853E-3</v>
      </c>
      <c r="V35" s="23">
        <f t="shared" si="12"/>
        <v>2.4843233928485864E-2</v>
      </c>
      <c r="W35" s="23">
        <f t="shared" si="13"/>
        <v>5.3274072270084183E-3</v>
      </c>
      <c r="X35" s="23">
        <f t="shared" si="14"/>
        <v>-6.830390413146592E-3</v>
      </c>
      <c r="Y35" s="23">
        <f t="shared" si="15"/>
        <v>2.3228648443596178E-4</v>
      </c>
    </row>
    <row r="36" spans="1:25" x14ac:dyDescent="0.3">
      <c r="A36" s="2">
        <f t="shared" si="2"/>
        <v>33</v>
      </c>
      <c r="B36" s="3">
        <v>45608</v>
      </c>
      <c r="C36" s="13">
        <f t="shared" si="3"/>
        <v>2024</v>
      </c>
      <c r="D36" s="13">
        <f t="shared" si="4"/>
        <v>11</v>
      </c>
      <c r="E36" s="24">
        <v>20.581</v>
      </c>
      <c r="F36" s="25">
        <v>51.14</v>
      </c>
      <c r="G36" s="25">
        <v>35.36</v>
      </c>
      <c r="H36" s="25">
        <v>11.28</v>
      </c>
      <c r="I36" s="25">
        <v>283.26</v>
      </c>
      <c r="J36" s="25">
        <v>15.89</v>
      </c>
      <c r="K36" s="25">
        <v>356.1</v>
      </c>
      <c r="L36" s="25">
        <v>208.91</v>
      </c>
      <c r="M36" s="25">
        <v>328.49</v>
      </c>
      <c r="N36" s="25">
        <v>51096.639999999999</v>
      </c>
      <c r="O36" s="25">
        <v>5983.99</v>
      </c>
      <c r="P36" s="23">
        <f t="shared" si="6"/>
        <v>-8.9147286821705807E-3</v>
      </c>
      <c r="Q36" s="23">
        <f t="shared" si="7"/>
        <v>-1.7504862461795057E-2</v>
      </c>
      <c r="R36" s="23">
        <f t="shared" si="8"/>
        <v>-2.3376623376623495E-2</v>
      </c>
      <c r="S36" s="23">
        <f t="shared" si="9"/>
        <v>-5.4760236259885908E-2</v>
      </c>
      <c r="T36" s="23">
        <f t="shared" si="10"/>
        <v>3.2488628979857159E-2</v>
      </c>
      <c r="U36" s="23">
        <f t="shared" si="11"/>
        <v>1.6314131413142086E-3</v>
      </c>
      <c r="V36" s="23">
        <f t="shared" si="12"/>
        <v>1.000773544768907E-2</v>
      </c>
      <c r="W36" s="23">
        <f t="shared" si="13"/>
        <v>-6.1457142857142877E-2</v>
      </c>
      <c r="X36" s="23">
        <f t="shared" si="14"/>
        <v>-6.8570244607180086E-3</v>
      </c>
      <c r="Y36" s="23">
        <f t="shared" si="15"/>
        <v>-2.8926824797754769E-3</v>
      </c>
    </row>
    <row r="37" spans="1:25" x14ac:dyDescent="0.3">
      <c r="A37" s="2">
        <f t="shared" si="2"/>
        <v>34</v>
      </c>
      <c r="B37" s="3">
        <v>45607</v>
      </c>
      <c r="C37" s="13">
        <f t="shared" si="3"/>
        <v>2024</v>
      </c>
      <c r="D37" s="13">
        <f t="shared" si="4"/>
        <v>11</v>
      </c>
      <c r="E37" s="24">
        <v>20.334</v>
      </c>
      <c r="F37" s="25">
        <v>51.6</v>
      </c>
      <c r="G37" s="25">
        <v>35.99</v>
      </c>
      <c r="H37" s="25">
        <v>11.55</v>
      </c>
      <c r="I37" s="25">
        <v>299.67</v>
      </c>
      <c r="J37" s="25">
        <v>15.39</v>
      </c>
      <c r="K37" s="25">
        <v>355.52</v>
      </c>
      <c r="L37" s="25">
        <v>206.84</v>
      </c>
      <c r="M37" s="25">
        <v>350</v>
      </c>
      <c r="N37" s="25">
        <v>51449.43</v>
      </c>
      <c r="O37" s="25">
        <v>6001.35</v>
      </c>
      <c r="P37" s="23">
        <f t="shared" si="6"/>
        <v>-5.7803468208091902E-3</v>
      </c>
      <c r="Q37" s="23">
        <f t="shared" si="7"/>
        <v>-1.1806699615595773E-2</v>
      </c>
      <c r="R37" s="23">
        <f t="shared" si="8"/>
        <v>-3.1852472757753492E-2</v>
      </c>
      <c r="S37" s="23">
        <f t="shared" si="9"/>
        <v>-6.3662588282104027E-3</v>
      </c>
      <c r="T37" s="23">
        <f t="shared" si="10"/>
        <v>1.2500000000000178E-2</v>
      </c>
      <c r="U37" s="23">
        <f t="shared" si="11"/>
        <v>1.4929998028112568E-3</v>
      </c>
      <c r="V37" s="23">
        <f t="shared" si="12"/>
        <v>-6.436737438754947E-3</v>
      </c>
      <c r="W37" s="23">
        <f t="shared" si="13"/>
        <v>8.9595915571882179E-2</v>
      </c>
      <c r="X37" s="23">
        <f t="shared" si="14"/>
        <v>-7.6331122069808188E-3</v>
      </c>
      <c r="Y37" s="23">
        <f t="shared" si="15"/>
        <v>9.6905366322297404E-4</v>
      </c>
    </row>
    <row r="38" spans="1:25" x14ac:dyDescent="0.3">
      <c r="A38" s="2">
        <f t="shared" si="2"/>
        <v>35</v>
      </c>
      <c r="B38" s="3">
        <v>45604</v>
      </c>
      <c r="C38" s="13">
        <f t="shared" si="3"/>
        <v>2024</v>
      </c>
      <c r="D38" s="13">
        <f t="shared" si="4"/>
        <v>11</v>
      </c>
      <c r="E38" s="24">
        <v>20.171099999999999</v>
      </c>
      <c r="F38" s="25">
        <v>51.9</v>
      </c>
      <c r="G38" s="25">
        <v>36.42</v>
      </c>
      <c r="H38" s="25">
        <v>11.93</v>
      </c>
      <c r="I38" s="25">
        <v>301.58999999999997</v>
      </c>
      <c r="J38" s="25">
        <v>15.2</v>
      </c>
      <c r="K38" s="25">
        <v>354.99</v>
      </c>
      <c r="L38" s="25">
        <v>208.18</v>
      </c>
      <c r="M38" s="25">
        <v>321.22000000000003</v>
      </c>
      <c r="N38" s="25">
        <v>51845.17</v>
      </c>
      <c r="O38" s="25">
        <v>5995.54</v>
      </c>
      <c r="P38" s="23">
        <f t="shared" si="6"/>
        <v>-5.556620042153626E-3</v>
      </c>
      <c r="Q38" s="23">
        <f t="shared" si="7"/>
        <v>-3.778071334214006E-2</v>
      </c>
      <c r="R38" s="23">
        <f t="shared" si="8"/>
        <v>-1.3234077750206796E-2</v>
      </c>
      <c r="S38" s="23">
        <f t="shared" si="9"/>
        <v>-1.5152009927179022E-2</v>
      </c>
      <c r="T38" s="23">
        <f t="shared" si="10"/>
        <v>7.9575596816976457E-3</v>
      </c>
      <c r="U38" s="23">
        <f t="shared" si="11"/>
        <v>-2.2530768580841798E-4</v>
      </c>
      <c r="V38" s="23">
        <f t="shared" si="12"/>
        <v>-8.9026422280409356E-3</v>
      </c>
      <c r="W38" s="23">
        <f t="shared" si="13"/>
        <v>8.1876662961840374E-2</v>
      </c>
      <c r="X38" s="23">
        <f t="shared" si="14"/>
        <v>-8.9065261126324291E-3</v>
      </c>
      <c r="Y38" s="23">
        <f t="shared" si="15"/>
        <v>3.7568431802581514E-3</v>
      </c>
    </row>
    <row r="39" spans="1:25" x14ac:dyDescent="0.3">
      <c r="A39" s="2">
        <f t="shared" si="2"/>
        <v>36</v>
      </c>
      <c r="B39" s="3">
        <v>45603</v>
      </c>
      <c r="C39" s="13">
        <f t="shared" si="3"/>
        <v>2024</v>
      </c>
      <c r="D39" s="13">
        <f t="shared" si="4"/>
        <v>11</v>
      </c>
      <c r="E39" s="24">
        <v>19.795000000000002</v>
      </c>
      <c r="F39" s="25">
        <v>52.19</v>
      </c>
      <c r="G39" s="25">
        <v>37.85</v>
      </c>
      <c r="H39" s="25">
        <v>12.09</v>
      </c>
      <c r="I39" s="25">
        <v>306.23</v>
      </c>
      <c r="J39" s="25">
        <v>15.08</v>
      </c>
      <c r="K39" s="25">
        <v>355.07</v>
      </c>
      <c r="L39" s="25">
        <v>210.05</v>
      </c>
      <c r="M39" s="25">
        <v>296.91000000000003</v>
      </c>
      <c r="N39" s="25">
        <v>52311.08</v>
      </c>
      <c r="O39" s="25">
        <v>5973.1</v>
      </c>
      <c r="P39" s="23">
        <f t="shared" si="6"/>
        <v>8.8923255364392606E-3</v>
      </c>
      <c r="Q39" s="23">
        <f t="shared" si="7"/>
        <v>3.3306033306033322E-2</v>
      </c>
      <c r="R39" s="23">
        <f t="shared" si="8"/>
        <v>4.4041450777202007E-2</v>
      </c>
      <c r="S39" s="23">
        <f t="shared" si="9"/>
        <v>-6.5208928107967079E-3</v>
      </c>
      <c r="T39" s="23">
        <f t="shared" si="10"/>
        <v>2.2372881355932295E-2</v>
      </c>
      <c r="U39" s="23">
        <f t="shared" si="11"/>
        <v>2.5176844232712492E-2</v>
      </c>
      <c r="V39" s="23">
        <f t="shared" si="12"/>
        <v>1.4293302428895593E-2</v>
      </c>
      <c r="W39" s="23">
        <f t="shared" si="13"/>
        <v>2.9043773611063139E-2</v>
      </c>
      <c r="X39" s="23">
        <f t="shared" si="14"/>
        <v>1.1184853764928393E-2</v>
      </c>
      <c r="Y39" s="23">
        <f t="shared" si="15"/>
        <v>7.4312198939459062E-3</v>
      </c>
    </row>
    <row r="40" spans="1:25" x14ac:dyDescent="0.3">
      <c r="A40" s="2">
        <f t="shared" si="2"/>
        <v>37</v>
      </c>
      <c r="B40" s="3">
        <v>45602</v>
      </c>
      <c r="C40" s="13">
        <f t="shared" si="3"/>
        <v>2024</v>
      </c>
      <c r="D40" s="13">
        <f t="shared" si="4"/>
        <v>11</v>
      </c>
      <c r="E40" s="24">
        <v>20.079999999999998</v>
      </c>
      <c r="F40" s="25">
        <v>51.73</v>
      </c>
      <c r="G40" s="25">
        <v>36.630000000000003</v>
      </c>
      <c r="H40" s="25">
        <v>11.58</v>
      </c>
      <c r="I40" s="25">
        <v>308.24</v>
      </c>
      <c r="J40" s="25">
        <v>14.75</v>
      </c>
      <c r="K40" s="25">
        <v>346.35</v>
      </c>
      <c r="L40" s="25">
        <v>207.09</v>
      </c>
      <c r="M40" s="25">
        <v>288.52999999999997</v>
      </c>
      <c r="N40" s="25">
        <v>51732.46</v>
      </c>
      <c r="O40" s="25">
        <v>5929.04</v>
      </c>
      <c r="P40" s="23">
        <f t="shared" si="6"/>
        <v>1.6506189821182904E-2</v>
      </c>
      <c r="Q40" s="23">
        <f t="shared" si="7"/>
        <v>1.4962593516209433E-2</v>
      </c>
      <c r="R40" s="23">
        <f t="shared" si="8"/>
        <v>8.6303939962476539E-2</v>
      </c>
      <c r="S40" s="23">
        <f t="shared" si="9"/>
        <v>-7.598197037991028E-3</v>
      </c>
      <c r="T40" s="23">
        <f t="shared" si="10"/>
        <v>-1.7976031957390171E-2</v>
      </c>
      <c r="U40" s="23">
        <f t="shared" si="11"/>
        <v>2.1259656778911395E-2</v>
      </c>
      <c r="V40" s="23">
        <f t="shared" si="12"/>
        <v>3.8045112781954993E-2</v>
      </c>
      <c r="W40" s="23">
        <f t="shared" si="13"/>
        <v>0.14751034043907096</v>
      </c>
      <c r="X40" s="23">
        <f t="shared" si="14"/>
        <v>1.7724242305609206E-2</v>
      </c>
      <c r="Y40" s="23">
        <f t="shared" si="15"/>
        <v>2.5295879476236127E-2</v>
      </c>
    </row>
    <row r="41" spans="1:25" x14ac:dyDescent="0.3">
      <c r="A41" s="2">
        <f t="shared" si="2"/>
        <v>38</v>
      </c>
      <c r="B41" s="3">
        <v>45601</v>
      </c>
      <c r="C41" s="13">
        <f t="shared" si="3"/>
        <v>2024</v>
      </c>
      <c r="D41" s="13">
        <f t="shared" si="4"/>
        <v>11</v>
      </c>
      <c r="E41" s="24">
        <v>20.097000000000001</v>
      </c>
      <c r="F41" s="25">
        <v>50.89</v>
      </c>
      <c r="G41" s="25">
        <v>36.090000000000003</v>
      </c>
      <c r="H41" s="25">
        <v>10.66</v>
      </c>
      <c r="I41" s="25">
        <v>310.60000000000002</v>
      </c>
      <c r="J41" s="25">
        <v>15.02</v>
      </c>
      <c r="K41" s="25">
        <v>339.14</v>
      </c>
      <c r="L41" s="25">
        <v>199.5</v>
      </c>
      <c r="M41" s="25">
        <v>251.44</v>
      </c>
      <c r="N41" s="25">
        <v>50831.51</v>
      </c>
      <c r="O41" s="25">
        <v>5782.76</v>
      </c>
      <c r="P41" s="23">
        <f t="shared" si="6"/>
        <v>-5.8915946582882572E-4</v>
      </c>
      <c r="Q41" s="23">
        <f t="shared" si="7"/>
        <v>-1.9559902200488977E-2</v>
      </c>
      <c r="R41" s="23">
        <f t="shared" si="8"/>
        <v>1.8147086914995114E-2</v>
      </c>
      <c r="S41" s="23">
        <f t="shared" si="9"/>
        <v>-1.96016539881948E-2</v>
      </c>
      <c r="T41" s="23">
        <f t="shared" si="10"/>
        <v>-1.9933554817276322E-3</v>
      </c>
      <c r="U41" s="23">
        <f t="shared" si="11"/>
        <v>1.5054922031666029E-2</v>
      </c>
      <c r="V41" s="23">
        <f t="shared" si="12"/>
        <v>1.9000919399325689E-2</v>
      </c>
      <c r="W41" s="23">
        <f t="shared" si="13"/>
        <v>3.5414264536320239E-2</v>
      </c>
      <c r="X41" s="23">
        <f t="shared" si="14"/>
        <v>-1.0028980471493698E-3</v>
      </c>
      <c r="Y41" s="23">
        <f t="shared" si="15"/>
        <v>1.2265675189796932E-2</v>
      </c>
    </row>
    <row r="42" spans="1:25" x14ac:dyDescent="0.3">
      <c r="A42" s="2">
        <f t="shared" si="2"/>
        <v>39</v>
      </c>
      <c r="B42" s="3">
        <v>45600</v>
      </c>
      <c r="C42" s="13">
        <f t="shared" si="3"/>
        <v>2024</v>
      </c>
      <c r="D42" s="13">
        <f t="shared" si="4"/>
        <v>11</v>
      </c>
      <c r="E42" s="24">
        <v>20.091000000000001</v>
      </c>
      <c r="F42" s="25">
        <v>50.92</v>
      </c>
      <c r="G42" s="25">
        <v>36.81</v>
      </c>
      <c r="H42" s="25">
        <v>10.47</v>
      </c>
      <c r="I42" s="25">
        <v>316.81</v>
      </c>
      <c r="J42" s="25">
        <v>15.05</v>
      </c>
      <c r="K42" s="25">
        <v>334.11</v>
      </c>
      <c r="L42" s="25">
        <v>195.78</v>
      </c>
      <c r="M42" s="25">
        <v>242.84</v>
      </c>
      <c r="N42" s="25">
        <v>50882.54</v>
      </c>
      <c r="O42" s="25">
        <v>5712.69</v>
      </c>
      <c r="P42" s="23">
        <f t="shared" si="6"/>
        <v>6.1252716854376388E-3</v>
      </c>
      <c r="Q42" s="23">
        <f t="shared" si="7"/>
        <v>1.8257261410788539E-2</v>
      </c>
      <c r="R42" s="23">
        <f t="shared" si="8"/>
        <v>-9.4607379375590828E-3</v>
      </c>
      <c r="S42" s="23">
        <f t="shared" si="9"/>
        <v>6.8007754155146038E-3</v>
      </c>
      <c r="T42" s="23">
        <f t="shared" si="10"/>
        <v>1.3468013468013629E-2</v>
      </c>
      <c r="U42" s="23">
        <f t="shared" si="11"/>
        <v>6.0826884278359916E-3</v>
      </c>
      <c r="V42" s="23">
        <f t="shared" si="12"/>
        <v>-1.0862426110241019E-2</v>
      </c>
      <c r="W42" s="23">
        <f t="shared" si="13"/>
        <v>-2.4660615310466705E-2</v>
      </c>
      <c r="X42" s="23">
        <f t="shared" si="14"/>
        <v>5.1390303776648327E-3</v>
      </c>
      <c r="Y42" s="23">
        <f t="shared" si="15"/>
        <v>-2.8121072475911779E-3</v>
      </c>
    </row>
    <row r="43" spans="1:25" x14ac:dyDescent="0.3">
      <c r="A43" s="2">
        <f t="shared" si="2"/>
        <v>40</v>
      </c>
      <c r="B43" s="3">
        <v>45597</v>
      </c>
      <c r="C43" s="13">
        <f t="shared" si="3"/>
        <v>2024</v>
      </c>
      <c r="D43" s="13">
        <f t="shared" si="4"/>
        <v>11</v>
      </c>
      <c r="E43" s="24">
        <v>20.266999999999999</v>
      </c>
      <c r="F43" s="25">
        <v>50.61</v>
      </c>
      <c r="G43" s="25">
        <v>36.15</v>
      </c>
      <c r="H43" s="25">
        <v>10.57</v>
      </c>
      <c r="I43" s="25">
        <v>314.67</v>
      </c>
      <c r="J43" s="25">
        <v>14.85</v>
      </c>
      <c r="K43" s="25">
        <v>332.09</v>
      </c>
      <c r="L43" s="25">
        <v>197.93</v>
      </c>
      <c r="M43" s="25">
        <v>248.98</v>
      </c>
      <c r="N43" s="25">
        <v>50622.39</v>
      </c>
      <c r="O43" s="25">
        <v>5728.8</v>
      </c>
      <c r="P43" s="23">
        <f t="shared" si="6"/>
        <v>0</v>
      </c>
      <c r="Q43" s="23">
        <f t="shared" si="7"/>
        <v>-1.1052777010223114E-3</v>
      </c>
      <c r="R43" s="23">
        <f t="shared" si="8"/>
        <v>2.8462998102467552E-3</v>
      </c>
      <c r="S43" s="23">
        <f t="shared" si="9"/>
        <v>1.1453660398970111E-3</v>
      </c>
      <c r="T43" s="23">
        <f t="shared" si="10"/>
        <v>-2.686366689053088E-3</v>
      </c>
      <c r="U43" s="23">
        <f t="shared" si="11"/>
        <v>-2.5271499853243395E-2</v>
      </c>
      <c r="V43" s="23">
        <f t="shared" si="12"/>
        <v>6.1856223175965619E-2</v>
      </c>
      <c r="W43" s="23">
        <f t="shared" si="13"/>
        <v>-3.4820892535522008E-3</v>
      </c>
      <c r="X43" s="23">
        <f t="shared" si="14"/>
        <v>-7.6311091065039971E-4</v>
      </c>
      <c r="Y43" s="23">
        <f t="shared" si="15"/>
        <v>4.0925781489629109E-3</v>
      </c>
    </row>
    <row r="44" spans="1:25" x14ac:dyDescent="0.3">
      <c r="A44" s="2">
        <f t="shared" si="2"/>
        <v>41</v>
      </c>
      <c r="B44" s="3">
        <v>45596</v>
      </c>
      <c r="C44" s="13">
        <f t="shared" si="3"/>
        <v>2024</v>
      </c>
      <c r="D44" s="13">
        <f t="shared" si="4"/>
        <v>10</v>
      </c>
      <c r="E44" s="24">
        <v>20.012</v>
      </c>
      <c r="F44" s="25">
        <v>50.61</v>
      </c>
      <c r="G44" s="25">
        <v>36.19</v>
      </c>
      <c r="H44" s="25">
        <v>10.54</v>
      </c>
      <c r="I44" s="25">
        <v>314.31</v>
      </c>
      <c r="J44" s="25">
        <v>14.89</v>
      </c>
      <c r="K44" s="25">
        <v>340.7</v>
      </c>
      <c r="L44" s="25">
        <v>186.4</v>
      </c>
      <c r="M44" s="25">
        <v>249.85</v>
      </c>
      <c r="N44" s="25">
        <v>50661.05</v>
      </c>
      <c r="O44" s="25">
        <v>5705.45</v>
      </c>
      <c r="P44" s="23">
        <f t="shared" si="6"/>
        <v>-5.5020632737277086E-3</v>
      </c>
      <c r="Q44" s="23">
        <f t="shared" si="7"/>
        <v>-1.104057410985293E-3</v>
      </c>
      <c r="R44" s="23">
        <f t="shared" si="8"/>
        <v>-7.532956685499026E-3</v>
      </c>
      <c r="S44" s="23">
        <f t="shared" si="9"/>
        <v>-1.4022209674383501E-2</v>
      </c>
      <c r="T44" s="23">
        <f t="shared" si="10"/>
        <v>-2.6791694574681557E-3</v>
      </c>
      <c r="U44" s="23">
        <f t="shared" si="11"/>
        <v>-9.4202477176251742E-3</v>
      </c>
      <c r="V44" s="23">
        <f t="shared" si="12"/>
        <v>-3.2843874850827515E-2</v>
      </c>
      <c r="W44" s="23">
        <f t="shared" si="13"/>
        <v>-2.9897107357794717E-2</v>
      </c>
      <c r="X44" s="23">
        <f t="shared" si="14"/>
        <v>-4.2492477972467801E-3</v>
      </c>
      <c r="Y44" s="23">
        <f t="shared" si="15"/>
        <v>-1.8614747655095742E-2</v>
      </c>
    </row>
    <row r="45" spans="1:25" x14ac:dyDescent="0.3">
      <c r="A45" s="2">
        <f t="shared" si="2"/>
        <v>42</v>
      </c>
      <c r="B45" s="3">
        <v>45595</v>
      </c>
      <c r="C45" s="13">
        <f t="shared" si="3"/>
        <v>2024</v>
      </c>
      <c r="D45" s="13">
        <f t="shared" si="4"/>
        <v>10</v>
      </c>
      <c r="E45" s="24">
        <v>20.143000000000001</v>
      </c>
      <c r="F45" s="25">
        <v>50.89</v>
      </c>
      <c r="G45" s="25">
        <v>36.229999999999997</v>
      </c>
      <c r="H45" s="25">
        <v>10.62</v>
      </c>
      <c r="I45" s="25">
        <v>318.77999999999997</v>
      </c>
      <c r="J45" s="25">
        <v>14.93</v>
      </c>
      <c r="K45" s="25">
        <v>343.94</v>
      </c>
      <c r="L45" s="25">
        <v>192.73</v>
      </c>
      <c r="M45" s="25">
        <v>257.55</v>
      </c>
      <c r="N45" s="25">
        <v>50877.24</v>
      </c>
      <c r="O45" s="25">
        <v>5813.67</v>
      </c>
      <c r="P45" s="23">
        <f t="shared" si="6"/>
        <v>-5.8605196327407016E-3</v>
      </c>
      <c r="Q45" s="23">
        <f t="shared" si="7"/>
        <v>2.2130013831258566E-3</v>
      </c>
      <c r="R45" s="23">
        <f t="shared" si="8"/>
        <v>2.8328611898016387E-3</v>
      </c>
      <c r="S45" s="23">
        <f t="shared" si="9"/>
        <v>5.6785917092558869E-3</v>
      </c>
      <c r="T45" s="23">
        <f t="shared" si="10"/>
        <v>1.2890094979647104E-2</v>
      </c>
      <c r="U45" s="23">
        <f t="shared" si="11"/>
        <v>-2.0058122969969894E-2</v>
      </c>
      <c r="V45" s="23">
        <f t="shared" si="12"/>
        <v>9.956505790494008E-3</v>
      </c>
      <c r="W45" s="23">
        <f t="shared" si="13"/>
        <v>-7.5909371146731797E-3</v>
      </c>
      <c r="X45" s="23">
        <f t="shared" si="14"/>
        <v>-5.649227254897804E-3</v>
      </c>
      <c r="Y45" s="23">
        <f t="shared" si="15"/>
        <v>-3.3002338451409985E-3</v>
      </c>
    </row>
    <row r="46" spans="1:25" x14ac:dyDescent="0.3">
      <c r="A46" s="2">
        <f t="shared" si="2"/>
        <v>43</v>
      </c>
      <c r="B46" s="3">
        <v>45594</v>
      </c>
      <c r="C46" s="13">
        <f t="shared" si="3"/>
        <v>2024</v>
      </c>
      <c r="D46" s="13">
        <f t="shared" si="4"/>
        <v>10</v>
      </c>
      <c r="E46" s="24">
        <v>20.047999999999998</v>
      </c>
      <c r="F46" s="25">
        <v>51.19</v>
      </c>
      <c r="G46" s="25">
        <v>36.15</v>
      </c>
      <c r="H46" s="25">
        <v>10.59</v>
      </c>
      <c r="I46" s="25">
        <v>316.98</v>
      </c>
      <c r="J46" s="25">
        <v>14.74</v>
      </c>
      <c r="K46" s="25">
        <v>350.98</v>
      </c>
      <c r="L46" s="25">
        <v>190.83</v>
      </c>
      <c r="M46" s="25">
        <v>259.52</v>
      </c>
      <c r="N46" s="25">
        <v>51166.29</v>
      </c>
      <c r="O46" s="25">
        <v>5832.92</v>
      </c>
      <c r="P46" s="23">
        <f t="shared" si="6"/>
        <v>-1.1203399652308432E-2</v>
      </c>
      <c r="Q46" s="23">
        <f t="shared" si="7"/>
        <v>-1.2295081967213184E-2</v>
      </c>
      <c r="R46" s="23">
        <f t="shared" si="8"/>
        <v>-3.8147138964577665E-2</v>
      </c>
      <c r="S46" s="23">
        <f t="shared" si="9"/>
        <v>3.8869952805453689E-2</v>
      </c>
      <c r="T46" s="23">
        <f t="shared" si="10"/>
        <v>2.5034770514603677E-2</v>
      </c>
      <c r="U46" s="23">
        <f t="shared" si="11"/>
        <v>-2.3592279923821957E-3</v>
      </c>
      <c r="V46" s="23">
        <f t="shared" si="12"/>
        <v>1.2951855194012651E-2</v>
      </c>
      <c r="W46" s="23">
        <f t="shared" si="13"/>
        <v>-1.1390042284103452E-2</v>
      </c>
      <c r="X46" s="23">
        <f t="shared" si="14"/>
        <v>-1.2544508195297621E-2</v>
      </c>
      <c r="Y46" s="23">
        <f t="shared" si="15"/>
        <v>1.6141440228589765E-3</v>
      </c>
    </row>
    <row r="47" spans="1:25" x14ac:dyDescent="0.3">
      <c r="A47" s="2">
        <f t="shared" si="2"/>
        <v>44</v>
      </c>
      <c r="B47" s="3">
        <v>45593</v>
      </c>
      <c r="C47" s="13">
        <f t="shared" si="3"/>
        <v>2024</v>
      </c>
      <c r="D47" s="13">
        <f t="shared" si="4"/>
        <v>10</v>
      </c>
      <c r="E47" s="24">
        <v>20.023</v>
      </c>
      <c r="F47" s="25">
        <v>51.77</v>
      </c>
      <c r="G47" s="25">
        <v>36.6</v>
      </c>
      <c r="H47" s="25">
        <v>11.01</v>
      </c>
      <c r="I47" s="25">
        <v>305.12</v>
      </c>
      <c r="J47" s="25">
        <v>14.38</v>
      </c>
      <c r="K47" s="25">
        <v>351.81</v>
      </c>
      <c r="L47" s="25">
        <v>188.39</v>
      </c>
      <c r="M47" s="25">
        <v>262.51</v>
      </c>
      <c r="N47" s="25">
        <v>51816.3</v>
      </c>
      <c r="O47" s="25">
        <v>5823.52</v>
      </c>
      <c r="P47" s="23">
        <f t="shared" si="6"/>
        <v>1.3539651837524147E-3</v>
      </c>
      <c r="Q47" s="23">
        <f t="shared" si="7"/>
        <v>0</v>
      </c>
      <c r="R47" s="23">
        <f t="shared" si="8"/>
        <v>-7.7889447236180853E-2</v>
      </c>
      <c r="S47" s="23">
        <f t="shared" si="9"/>
        <v>1.8628563797823183E-2</v>
      </c>
      <c r="T47" s="23">
        <f t="shared" si="10"/>
        <v>1.5536723163841915E-2</v>
      </c>
      <c r="U47" s="23">
        <f t="shared" si="11"/>
        <v>4.2029500622001059E-2</v>
      </c>
      <c r="V47" s="23">
        <f t="shared" si="12"/>
        <v>2.9814193685777646E-3</v>
      </c>
      <c r="W47" s="23">
        <f t="shared" si="13"/>
        <v>-2.4815186299639636E-2</v>
      </c>
      <c r="X47" s="23">
        <f t="shared" si="14"/>
        <v>6.1736822702940231E-4</v>
      </c>
      <c r="Y47" s="23">
        <f t="shared" si="15"/>
        <v>2.6514603692762151E-3</v>
      </c>
    </row>
    <row r="48" spans="1:25" x14ac:dyDescent="0.3">
      <c r="A48" s="2">
        <f t="shared" si="2"/>
        <v>45</v>
      </c>
      <c r="B48" s="3">
        <v>45590</v>
      </c>
      <c r="C48" s="13">
        <f t="shared" si="3"/>
        <v>2024</v>
      </c>
      <c r="D48" s="13">
        <f t="shared" si="4"/>
        <v>10</v>
      </c>
      <c r="E48" s="24">
        <v>19.95</v>
      </c>
      <c r="F48" s="25">
        <v>51.7</v>
      </c>
      <c r="G48" s="25">
        <v>36.6</v>
      </c>
      <c r="H48" s="25">
        <v>11.94</v>
      </c>
      <c r="I48" s="25">
        <v>299.54000000000002</v>
      </c>
      <c r="J48" s="25">
        <v>14.16</v>
      </c>
      <c r="K48" s="25">
        <v>337.62</v>
      </c>
      <c r="L48" s="25">
        <v>187.83</v>
      </c>
      <c r="M48" s="25">
        <v>269.19</v>
      </c>
      <c r="N48" s="25">
        <v>51784.33</v>
      </c>
      <c r="O48" s="25">
        <v>5808.12</v>
      </c>
      <c r="P48" s="23">
        <f t="shared" si="6"/>
        <v>1.9346101760508994E-4</v>
      </c>
      <c r="Q48" s="23">
        <f t="shared" si="7"/>
        <v>-7.8612089997288637E-3</v>
      </c>
      <c r="R48" s="23">
        <f t="shared" si="8"/>
        <v>-8.3682008368202165E-4</v>
      </c>
      <c r="S48" s="23">
        <f t="shared" si="9"/>
        <v>-1.7095980311730874E-2</v>
      </c>
      <c r="T48" s="23">
        <f t="shared" si="10"/>
        <v>9.9857346647647116E-3</v>
      </c>
      <c r="U48" s="23">
        <f t="shared" si="11"/>
        <v>1.2262764968668627E-2</v>
      </c>
      <c r="V48" s="23">
        <f t="shared" si="12"/>
        <v>7.7798047000752213E-3</v>
      </c>
      <c r="W48" s="23">
        <f t="shared" si="13"/>
        <v>3.3438267813267641E-2</v>
      </c>
      <c r="X48" s="23">
        <f t="shared" si="14"/>
        <v>-2.1681395084827138E-4</v>
      </c>
      <c r="Y48" s="23">
        <f t="shared" si="15"/>
        <v>-2.994908655286066E-4</v>
      </c>
    </row>
    <row r="49" spans="1:25" x14ac:dyDescent="0.3">
      <c r="A49" s="2">
        <f t="shared" si="2"/>
        <v>46</v>
      </c>
      <c r="B49" s="3">
        <v>45589</v>
      </c>
      <c r="C49" s="13">
        <f t="shared" si="3"/>
        <v>2024</v>
      </c>
      <c r="D49" s="13">
        <f t="shared" si="4"/>
        <v>10</v>
      </c>
      <c r="E49" s="24">
        <v>19.792000000000002</v>
      </c>
      <c r="F49" s="25">
        <v>51.69</v>
      </c>
      <c r="G49" s="25">
        <v>36.89</v>
      </c>
      <c r="H49" s="25">
        <v>11.95</v>
      </c>
      <c r="I49" s="25">
        <v>304.75</v>
      </c>
      <c r="J49" s="25">
        <v>14.02</v>
      </c>
      <c r="K49" s="25">
        <v>333.53</v>
      </c>
      <c r="L49" s="25">
        <v>186.38</v>
      </c>
      <c r="M49" s="25">
        <v>260.48</v>
      </c>
      <c r="N49" s="25">
        <v>51795.56</v>
      </c>
      <c r="O49" s="25">
        <v>5809.86</v>
      </c>
      <c r="P49" s="23">
        <f t="shared" si="6"/>
        <v>-4.2381044114814248E-3</v>
      </c>
      <c r="Q49" s="23">
        <f t="shared" si="7"/>
        <v>-5.4185857491184652E-4</v>
      </c>
      <c r="R49" s="23">
        <f t="shared" si="8"/>
        <v>2.1367521367521292E-2</v>
      </c>
      <c r="S49" s="23">
        <f t="shared" si="9"/>
        <v>1.8073094140442336E-2</v>
      </c>
      <c r="T49" s="23">
        <f t="shared" si="10"/>
        <v>7.1839080459770166E-3</v>
      </c>
      <c r="U49" s="23">
        <f t="shared" si="11"/>
        <v>-1.8554541373634326E-3</v>
      </c>
      <c r="V49" s="23">
        <f t="shared" si="12"/>
        <v>9.0411997184776105E-3</v>
      </c>
      <c r="W49" s="23">
        <f t="shared" si="13"/>
        <v>0.21919026445120537</v>
      </c>
      <c r="X49" s="23">
        <f t="shared" si="14"/>
        <v>-6.6466406339749096E-3</v>
      </c>
      <c r="Y49" s="23">
        <f t="shared" si="15"/>
        <v>2.1457820892740731E-3</v>
      </c>
    </row>
    <row r="50" spans="1:25" x14ac:dyDescent="0.3">
      <c r="A50" s="2">
        <f t="shared" si="2"/>
        <v>47</v>
      </c>
      <c r="B50" s="3">
        <v>45588</v>
      </c>
      <c r="C50" s="13">
        <f t="shared" si="3"/>
        <v>2024</v>
      </c>
      <c r="D50" s="13">
        <f t="shared" si="4"/>
        <v>10</v>
      </c>
      <c r="E50" s="24">
        <v>19.826000000000001</v>
      </c>
      <c r="F50" s="25">
        <v>51.91</v>
      </c>
      <c r="G50" s="25">
        <v>36.909999999999997</v>
      </c>
      <c r="H50" s="25">
        <v>11.7</v>
      </c>
      <c r="I50" s="25">
        <v>299.33999999999997</v>
      </c>
      <c r="J50" s="25">
        <v>13.92</v>
      </c>
      <c r="K50" s="25">
        <v>334.15</v>
      </c>
      <c r="L50" s="25">
        <v>184.71</v>
      </c>
      <c r="M50" s="25">
        <v>213.65</v>
      </c>
      <c r="N50" s="25">
        <v>52142.13</v>
      </c>
      <c r="O50" s="25">
        <v>5797.42</v>
      </c>
      <c r="P50" s="23">
        <f t="shared" si="6"/>
        <v>-3.0727866333781773E-3</v>
      </c>
      <c r="Q50" s="23">
        <f t="shared" si="7"/>
        <v>-9.9248927038627643E-3</v>
      </c>
      <c r="R50" s="23">
        <f t="shared" si="8"/>
        <v>2.5706940874035134E-3</v>
      </c>
      <c r="S50" s="23">
        <f t="shared" si="9"/>
        <v>-3.1304116158251682E-3</v>
      </c>
      <c r="T50" s="23">
        <f t="shared" si="10"/>
        <v>-1.6949152542372947E-2</v>
      </c>
      <c r="U50" s="23">
        <f t="shared" si="11"/>
        <v>-1.79568565214836E-2</v>
      </c>
      <c r="V50" s="23">
        <f t="shared" si="12"/>
        <v>-2.63046916183447E-2</v>
      </c>
      <c r="W50" s="23">
        <f t="shared" si="13"/>
        <v>-1.9819241179978908E-2</v>
      </c>
      <c r="X50" s="23">
        <f t="shared" si="14"/>
        <v>-4.3262491385598345E-3</v>
      </c>
      <c r="Y50" s="23">
        <f t="shared" si="15"/>
        <v>-9.1912770030079249E-3</v>
      </c>
    </row>
    <row r="51" spans="1:25" x14ac:dyDescent="0.3">
      <c r="A51" s="2">
        <f t="shared" si="2"/>
        <v>48</v>
      </c>
      <c r="B51" s="3">
        <v>45587</v>
      </c>
      <c r="C51" s="13">
        <f t="shared" si="3"/>
        <v>2024</v>
      </c>
      <c r="D51" s="13">
        <f t="shared" si="4"/>
        <v>10</v>
      </c>
      <c r="E51" s="24">
        <v>19.948</v>
      </c>
      <c r="F51" s="25">
        <v>52.07</v>
      </c>
      <c r="G51" s="25">
        <v>37.28</v>
      </c>
      <c r="H51" s="25">
        <v>11.67</v>
      </c>
      <c r="I51" s="25">
        <v>300.27999999999997</v>
      </c>
      <c r="J51" s="25">
        <v>14.16</v>
      </c>
      <c r="K51" s="25">
        <v>340.26</v>
      </c>
      <c r="L51" s="25">
        <v>189.7</v>
      </c>
      <c r="M51" s="25">
        <v>217.97</v>
      </c>
      <c r="N51" s="25">
        <v>52368.69</v>
      </c>
      <c r="O51" s="25">
        <v>5851.2</v>
      </c>
      <c r="P51" s="23">
        <f t="shared" si="6"/>
        <v>-1.1766938698045126E-2</v>
      </c>
      <c r="Q51" s="23">
        <f t="shared" si="7"/>
        <v>-9.3010895562052331E-3</v>
      </c>
      <c r="R51" s="23">
        <f t="shared" si="8"/>
        <v>-9.3378607809846415E-3</v>
      </c>
      <c r="S51" s="23">
        <f t="shared" si="9"/>
        <v>1.0000666711111883E-3</v>
      </c>
      <c r="T51" s="23">
        <f t="shared" si="10"/>
        <v>1.2151536812008645E-2</v>
      </c>
      <c r="U51" s="23">
        <f t="shared" si="11"/>
        <v>1.2653385516288029E-3</v>
      </c>
      <c r="V51" s="23">
        <f t="shared" si="12"/>
        <v>3.3320992225100987E-3</v>
      </c>
      <c r="W51" s="23">
        <f t="shared" si="13"/>
        <v>-4.0210189627598591E-3</v>
      </c>
      <c r="X51" s="23">
        <f t="shared" si="14"/>
        <v>-8.4470608817751591E-3</v>
      </c>
      <c r="Y51" s="23">
        <f t="shared" si="15"/>
        <v>-4.7489058725858069E-4</v>
      </c>
    </row>
    <row r="52" spans="1:25" x14ac:dyDescent="0.3">
      <c r="A52" s="2">
        <f t="shared" si="2"/>
        <v>49</v>
      </c>
      <c r="B52" s="3">
        <v>45586</v>
      </c>
      <c r="C52" s="13">
        <f t="shared" si="3"/>
        <v>2024</v>
      </c>
      <c r="D52" s="13">
        <f t="shared" si="4"/>
        <v>10</v>
      </c>
      <c r="E52" s="24">
        <v>19.966999999999999</v>
      </c>
      <c r="F52" s="25">
        <v>52.69</v>
      </c>
      <c r="G52" s="25">
        <v>37.630000000000003</v>
      </c>
      <c r="H52" s="25">
        <v>11.78</v>
      </c>
      <c r="I52" s="25">
        <v>299.98</v>
      </c>
      <c r="J52" s="25">
        <v>13.99</v>
      </c>
      <c r="K52" s="25">
        <v>339.83</v>
      </c>
      <c r="L52" s="25">
        <v>189.07</v>
      </c>
      <c r="M52" s="25">
        <v>218.85</v>
      </c>
      <c r="N52" s="25">
        <v>52814.82</v>
      </c>
      <c r="O52" s="25">
        <v>5853.98</v>
      </c>
      <c r="P52" s="23">
        <f t="shared" si="6"/>
        <v>-2.8387585162756857E-3</v>
      </c>
      <c r="Q52" s="23">
        <f t="shared" si="7"/>
        <v>-6.5997888067581556E-3</v>
      </c>
      <c r="R52" s="23">
        <f t="shared" si="8"/>
        <v>-1.4225941422594146E-2</v>
      </c>
      <c r="S52" s="23">
        <f t="shared" si="9"/>
        <v>2.1660649819494671E-2</v>
      </c>
      <c r="T52" s="23">
        <f t="shared" si="10"/>
        <v>-1.2702893436838392E-2</v>
      </c>
      <c r="U52" s="23">
        <f t="shared" si="11"/>
        <v>4.8790584895617162E-3</v>
      </c>
      <c r="V52" s="23">
        <f t="shared" si="12"/>
        <v>4.2330282025493382E-4</v>
      </c>
      <c r="W52" s="23">
        <f t="shared" si="13"/>
        <v>-8.3824195740824781E-3</v>
      </c>
      <c r="X52" s="23">
        <f t="shared" si="14"/>
        <v>-4.0092465369803154E-3</v>
      </c>
      <c r="Y52" s="23">
        <f t="shared" si="15"/>
        <v>-1.8227794573267841E-3</v>
      </c>
    </row>
    <row r="53" spans="1:25" x14ac:dyDescent="0.3">
      <c r="A53" s="2">
        <f t="shared" si="2"/>
        <v>50</v>
      </c>
      <c r="B53" s="3">
        <v>45583</v>
      </c>
      <c r="C53" s="13">
        <f t="shared" si="3"/>
        <v>2024</v>
      </c>
      <c r="D53" s="13">
        <f t="shared" si="4"/>
        <v>10</v>
      </c>
      <c r="E53" s="24">
        <v>19.849</v>
      </c>
      <c r="F53" s="25">
        <v>52.84</v>
      </c>
      <c r="G53" s="25">
        <v>37.880000000000003</v>
      </c>
      <c r="H53" s="25">
        <v>11.95</v>
      </c>
      <c r="I53" s="25">
        <v>293.62</v>
      </c>
      <c r="J53" s="25">
        <v>14.17</v>
      </c>
      <c r="K53" s="25">
        <v>338.18</v>
      </c>
      <c r="L53" s="25">
        <v>188.99</v>
      </c>
      <c r="M53" s="25">
        <v>220.7</v>
      </c>
      <c r="N53" s="25">
        <v>53027.42</v>
      </c>
      <c r="O53" s="25">
        <v>5864.67</v>
      </c>
      <c r="P53" s="23">
        <f t="shared" si="6"/>
        <v>9.7458436843111951E-3</v>
      </c>
      <c r="Q53" s="23">
        <f t="shared" si="7"/>
        <v>2.1164021164021829E-3</v>
      </c>
      <c r="R53" s="23">
        <f t="shared" si="8"/>
        <v>1.4431239388794648E-2</v>
      </c>
      <c r="S53" s="23">
        <f t="shared" si="9"/>
        <v>4.3388650012437191E-2</v>
      </c>
      <c r="T53" s="23">
        <f t="shared" si="10"/>
        <v>3.809523809523796E-2</v>
      </c>
      <c r="U53" s="23">
        <f t="shared" si="11"/>
        <v>5.5603461092443851E-3</v>
      </c>
      <c r="V53" s="23">
        <f t="shared" si="12"/>
        <v>7.7854209993069023E-3</v>
      </c>
      <c r="W53" s="23">
        <f t="shared" si="13"/>
        <v>-8.6015663905114614E-4</v>
      </c>
      <c r="X53" s="23">
        <f t="shared" si="14"/>
        <v>1.0745723801961038E-2</v>
      </c>
      <c r="Y53" s="23">
        <f t="shared" si="15"/>
        <v>3.9716030382763723E-3</v>
      </c>
    </row>
    <row r="54" spans="1:25" x14ac:dyDescent="0.3">
      <c r="A54" s="2">
        <f t="shared" si="2"/>
        <v>51</v>
      </c>
      <c r="B54" s="3">
        <v>45582</v>
      </c>
      <c r="C54" s="13">
        <f t="shared" si="3"/>
        <v>2024</v>
      </c>
      <c r="D54" s="13">
        <f t="shared" si="4"/>
        <v>10</v>
      </c>
      <c r="E54" s="24">
        <v>19.832999999999998</v>
      </c>
      <c r="F54" s="25">
        <v>52.33</v>
      </c>
      <c r="G54" s="25">
        <v>37.799999999999997</v>
      </c>
      <c r="H54" s="25">
        <v>11.78</v>
      </c>
      <c r="I54" s="25">
        <v>281.41000000000003</v>
      </c>
      <c r="J54" s="25">
        <v>13.65</v>
      </c>
      <c r="K54" s="25">
        <v>336.31</v>
      </c>
      <c r="L54" s="25">
        <v>187.53</v>
      </c>
      <c r="M54" s="25">
        <v>220.89</v>
      </c>
      <c r="N54" s="25">
        <v>52463.66</v>
      </c>
      <c r="O54" s="25">
        <v>5841.47</v>
      </c>
      <c r="P54" s="23">
        <f t="shared" si="6"/>
        <v>7.6496462038622148E-4</v>
      </c>
      <c r="Q54" s="23">
        <f t="shared" si="7"/>
        <v>-2.4012393493415995E-2</v>
      </c>
      <c r="R54" s="23">
        <f t="shared" si="8"/>
        <v>-2.5402201524132861E-3</v>
      </c>
      <c r="S54" s="23">
        <f t="shared" si="9"/>
        <v>1.5004508566275998E-2</v>
      </c>
      <c r="T54" s="23">
        <f t="shared" si="10"/>
        <v>-1.3728323699421896E-2</v>
      </c>
      <c r="U54" s="23">
        <f t="shared" si="11"/>
        <v>-5.2942916296954134E-3</v>
      </c>
      <c r="V54" s="23">
        <f t="shared" si="12"/>
        <v>3.4244742896891722E-3</v>
      </c>
      <c r="W54" s="23">
        <f t="shared" si="13"/>
        <v>-1.9879817467132188E-3</v>
      </c>
      <c r="X54" s="23">
        <f t="shared" si="14"/>
        <v>-3.8030913263986665E-4</v>
      </c>
      <c r="Y54" s="23">
        <f t="shared" si="15"/>
        <v>-1.7116048520571248E-4</v>
      </c>
    </row>
    <row r="55" spans="1:25" x14ac:dyDescent="0.3">
      <c r="A55" s="2">
        <f t="shared" si="2"/>
        <v>52</v>
      </c>
      <c r="B55" s="3">
        <v>45581</v>
      </c>
      <c r="C55" s="13">
        <f t="shared" si="3"/>
        <v>2024</v>
      </c>
      <c r="D55" s="13">
        <f t="shared" si="4"/>
        <v>10</v>
      </c>
      <c r="E55" s="24">
        <v>19.850000000000001</v>
      </c>
      <c r="F55" s="25">
        <v>52.29</v>
      </c>
      <c r="G55" s="25">
        <v>38.729999999999997</v>
      </c>
      <c r="H55" s="25">
        <v>11.81</v>
      </c>
      <c r="I55" s="25">
        <v>277.25</v>
      </c>
      <c r="J55" s="25">
        <v>13.84</v>
      </c>
      <c r="K55" s="25">
        <v>338.1</v>
      </c>
      <c r="L55" s="25">
        <v>186.89</v>
      </c>
      <c r="M55" s="25">
        <v>221.33</v>
      </c>
      <c r="N55" s="25">
        <v>52483.62</v>
      </c>
      <c r="O55" s="25">
        <v>5842.47</v>
      </c>
      <c r="P55" s="23">
        <f t="shared" si="6"/>
        <v>1.3404825737266535E-3</v>
      </c>
      <c r="Q55" s="23">
        <f t="shared" si="7"/>
        <v>2.7320954907161576E-2</v>
      </c>
      <c r="R55" s="23">
        <f t="shared" si="8"/>
        <v>7.6791808873719614E-3</v>
      </c>
      <c r="S55" s="23">
        <f t="shared" si="9"/>
        <v>1.4787160060027116E-2</v>
      </c>
      <c r="T55" s="23">
        <f t="shared" si="10"/>
        <v>5.9724349157733503E-2</v>
      </c>
      <c r="U55" s="23">
        <f t="shared" si="11"/>
        <v>-6.7859346082664862E-3</v>
      </c>
      <c r="V55" s="23">
        <f t="shared" si="12"/>
        <v>-4.2623474878790146E-3</v>
      </c>
      <c r="W55" s="23">
        <f t="shared" si="13"/>
        <v>8.0156669854716256E-3</v>
      </c>
      <c r="X55" s="23">
        <f t="shared" si="14"/>
        <v>2.0207041993762775E-3</v>
      </c>
      <c r="Y55" s="23">
        <f t="shared" si="15"/>
        <v>4.6790685197222182E-3</v>
      </c>
    </row>
    <row r="56" spans="1:25" x14ac:dyDescent="0.3">
      <c r="A56" s="2">
        <f t="shared" si="2"/>
        <v>53</v>
      </c>
      <c r="B56" s="3">
        <v>45580</v>
      </c>
      <c r="C56" s="13">
        <f t="shared" si="3"/>
        <v>2024</v>
      </c>
      <c r="D56" s="13">
        <f t="shared" si="4"/>
        <v>10</v>
      </c>
      <c r="E56" s="24">
        <v>19.684000000000001</v>
      </c>
      <c r="F56" s="25">
        <v>52.22</v>
      </c>
      <c r="G56" s="25">
        <v>37.700000000000003</v>
      </c>
      <c r="H56" s="25">
        <v>11.72</v>
      </c>
      <c r="I56" s="25">
        <v>273.20999999999998</v>
      </c>
      <c r="J56" s="25">
        <v>13.06</v>
      </c>
      <c r="K56" s="25">
        <v>340.41</v>
      </c>
      <c r="L56" s="25">
        <v>187.69</v>
      </c>
      <c r="M56" s="25">
        <v>219.57</v>
      </c>
      <c r="N56" s="25">
        <v>52377.78</v>
      </c>
      <c r="O56" s="25">
        <v>5815.26</v>
      </c>
      <c r="P56" s="23">
        <f t="shared" si="6"/>
        <v>4.2307692307692601E-3</v>
      </c>
      <c r="Q56" s="23">
        <f t="shared" si="7"/>
        <v>-1.0238907849829393E-2</v>
      </c>
      <c r="R56" s="23">
        <f t="shared" si="8"/>
        <v>3.4246575342467001E-3</v>
      </c>
      <c r="S56" s="23">
        <f t="shared" si="9"/>
        <v>1.3766233766233649E-2</v>
      </c>
      <c r="T56" s="23">
        <f t="shared" si="10"/>
        <v>6.092607636068248E-2</v>
      </c>
      <c r="U56" s="23">
        <f t="shared" si="11"/>
        <v>1.9863383066690776E-2</v>
      </c>
      <c r="V56" s="23">
        <f t="shared" si="12"/>
        <v>7.9982936973443941E-4</v>
      </c>
      <c r="W56" s="23">
        <f t="shared" si="13"/>
        <v>1.8707793392955807E-3</v>
      </c>
      <c r="X56" s="23">
        <f t="shared" si="14"/>
        <v>6.626372999130048E-3</v>
      </c>
      <c r="Y56" s="23">
        <f t="shared" si="15"/>
        <v>-7.6094097971791674E-3</v>
      </c>
    </row>
    <row r="57" spans="1:25" x14ac:dyDescent="0.3">
      <c r="A57" s="2">
        <f t="shared" si="2"/>
        <v>54</v>
      </c>
      <c r="B57" s="3">
        <v>45579</v>
      </c>
      <c r="C57" s="13">
        <f t="shared" si="3"/>
        <v>2024</v>
      </c>
      <c r="D57" s="13">
        <f t="shared" si="4"/>
        <v>10</v>
      </c>
      <c r="E57" s="24">
        <v>19.361999999999998</v>
      </c>
      <c r="F57" s="25">
        <v>52</v>
      </c>
      <c r="G57" s="25">
        <v>38.090000000000003</v>
      </c>
      <c r="H57" s="25">
        <v>11.68</v>
      </c>
      <c r="I57" s="25">
        <v>269.5</v>
      </c>
      <c r="J57" s="25">
        <v>12.31</v>
      </c>
      <c r="K57" s="25">
        <v>333.78</v>
      </c>
      <c r="L57" s="25">
        <v>187.54</v>
      </c>
      <c r="M57" s="25">
        <v>219.16</v>
      </c>
      <c r="N57" s="25">
        <v>52032.99</v>
      </c>
      <c r="O57" s="25">
        <v>5859.85</v>
      </c>
      <c r="P57" s="23">
        <f t="shared" si="6"/>
        <v>-3.0674846625766694E-3</v>
      </c>
      <c r="Q57" s="23">
        <f t="shared" si="7"/>
        <v>-2.0958868221115923E-3</v>
      </c>
      <c r="R57" s="23">
        <f t="shared" si="8"/>
        <v>-2.4227234753550597E-2</v>
      </c>
      <c r="S57" s="23">
        <f t="shared" si="9"/>
        <v>-1.6746324200080154E-2</v>
      </c>
      <c r="T57" s="23">
        <f t="shared" si="10"/>
        <v>1.2335526315789602E-2</v>
      </c>
      <c r="U57" s="23">
        <f t="shared" si="11"/>
        <v>1.8584637919985214E-2</v>
      </c>
      <c r="V57" s="23">
        <f t="shared" si="12"/>
        <v>-6.7789429085901576E-3</v>
      </c>
      <c r="W57" s="23">
        <f t="shared" si="13"/>
        <v>6.2442607897152946E-3</v>
      </c>
      <c r="X57" s="23">
        <f t="shared" si="14"/>
        <v>-6.9217564966259637E-3</v>
      </c>
      <c r="Y57" s="23">
        <f t="shared" si="15"/>
        <v>7.7076128584032677E-3</v>
      </c>
    </row>
    <row r="58" spans="1:25" x14ac:dyDescent="0.3">
      <c r="A58" s="2">
        <f t="shared" si="2"/>
        <v>55</v>
      </c>
      <c r="B58" s="3">
        <v>45576</v>
      </c>
      <c r="C58" s="13">
        <f t="shared" si="3"/>
        <v>2024</v>
      </c>
      <c r="D58" s="13">
        <f t="shared" si="4"/>
        <v>10</v>
      </c>
      <c r="E58" s="24">
        <v>19.256</v>
      </c>
      <c r="F58" s="25">
        <v>52.16</v>
      </c>
      <c r="G58" s="25">
        <v>38.17</v>
      </c>
      <c r="H58" s="25">
        <v>11.97</v>
      </c>
      <c r="I58" s="25">
        <v>274.08999999999997</v>
      </c>
      <c r="J58" s="25">
        <v>12.16</v>
      </c>
      <c r="K58" s="25">
        <v>327.69</v>
      </c>
      <c r="L58" s="25">
        <v>188.82</v>
      </c>
      <c r="M58" s="25">
        <v>217.8</v>
      </c>
      <c r="N58" s="25">
        <v>52395.66</v>
      </c>
      <c r="O58" s="25">
        <v>5815.03</v>
      </c>
      <c r="P58" s="23">
        <f t="shared" si="6"/>
        <v>-5.7482276298148616E-4</v>
      </c>
      <c r="Q58" s="23">
        <f t="shared" si="7"/>
        <v>5.0026329647183676E-3</v>
      </c>
      <c r="R58" s="23">
        <f t="shared" si="8"/>
        <v>-3.3305578684429404E-3</v>
      </c>
      <c r="S58" s="23">
        <f t="shared" si="9"/>
        <v>1.2859835187169599E-2</v>
      </c>
      <c r="T58" s="23">
        <f t="shared" si="10"/>
        <v>1.6474464579900872E-3</v>
      </c>
      <c r="U58" s="23">
        <f t="shared" si="11"/>
        <v>-2.6123395149786122E-2</v>
      </c>
      <c r="V58" s="23">
        <f t="shared" si="12"/>
        <v>1.1626038039110664E-2</v>
      </c>
      <c r="W58" s="23">
        <f t="shared" si="13"/>
        <v>-8.782510365623819E-2</v>
      </c>
      <c r="X58" s="23">
        <f t="shared" si="14"/>
        <v>8.3410811224648995E-5</v>
      </c>
      <c r="Y58" s="23">
        <f t="shared" si="15"/>
        <v>6.0518507625366702E-3</v>
      </c>
    </row>
    <row r="59" spans="1:25" x14ac:dyDescent="0.3">
      <c r="A59" s="2">
        <f t="shared" si="2"/>
        <v>56</v>
      </c>
      <c r="B59" s="3">
        <v>45575</v>
      </c>
      <c r="C59" s="13">
        <f t="shared" si="3"/>
        <v>2024</v>
      </c>
      <c r="D59" s="13">
        <f t="shared" si="4"/>
        <v>10</v>
      </c>
      <c r="E59" s="24">
        <v>19.45</v>
      </c>
      <c r="F59" s="25">
        <v>52.19</v>
      </c>
      <c r="G59" s="25">
        <v>37.979999999999997</v>
      </c>
      <c r="H59" s="25">
        <v>12.01</v>
      </c>
      <c r="I59" s="25">
        <v>270.61</v>
      </c>
      <c r="J59" s="25">
        <v>12.14</v>
      </c>
      <c r="K59" s="25">
        <v>336.48</v>
      </c>
      <c r="L59" s="25">
        <v>186.65</v>
      </c>
      <c r="M59" s="25">
        <v>238.77</v>
      </c>
      <c r="N59" s="25">
        <v>52391.29</v>
      </c>
      <c r="O59" s="25">
        <v>5780.05</v>
      </c>
      <c r="P59" s="23">
        <f t="shared" si="6"/>
        <v>6.1692693271639953E-3</v>
      </c>
      <c r="Q59" s="23">
        <f t="shared" si="7"/>
        <v>1.0542962572481773E-3</v>
      </c>
      <c r="R59" s="23">
        <f t="shared" si="8"/>
        <v>1.6074450084602399E-2</v>
      </c>
      <c r="S59" s="23">
        <f t="shared" si="9"/>
        <v>1.6566491359879976E-2</v>
      </c>
      <c r="T59" s="23">
        <f t="shared" si="10"/>
        <v>4.1356492969397696E-3</v>
      </c>
      <c r="U59" s="23">
        <f t="shared" si="11"/>
        <v>1.6955299664520807E-2</v>
      </c>
      <c r="V59" s="23">
        <f t="shared" si="12"/>
        <v>7.9926553977427428E-3</v>
      </c>
      <c r="W59" s="23">
        <f t="shared" si="13"/>
        <v>-9.4586185438705339E-3</v>
      </c>
      <c r="X59" s="23">
        <f t="shared" si="14"/>
        <v>1.0066679339584272E-2</v>
      </c>
      <c r="Y59" s="23">
        <f t="shared" si="15"/>
        <v>-2.0700823889336917E-3</v>
      </c>
    </row>
    <row r="60" spans="1:25" x14ac:dyDescent="0.3">
      <c r="A60" s="2">
        <f t="shared" si="2"/>
        <v>57</v>
      </c>
      <c r="B60" s="3">
        <v>45574</v>
      </c>
      <c r="C60" s="13">
        <f t="shared" si="3"/>
        <v>2024</v>
      </c>
      <c r="D60" s="13">
        <f t="shared" si="4"/>
        <v>10</v>
      </c>
      <c r="E60" s="24">
        <v>19.489999999999998</v>
      </c>
      <c r="F60" s="25">
        <v>51.87</v>
      </c>
      <c r="G60" s="25">
        <v>37.94</v>
      </c>
      <c r="H60" s="25">
        <v>11.82</v>
      </c>
      <c r="I60" s="25">
        <v>266.2</v>
      </c>
      <c r="J60" s="25">
        <v>12.09</v>
      </c>
      <c r="K60" s="25">
        <v>330.87</v>
      </c>
      <c r="L60" s="25">
        <v>185.17</v>
      </c>
      <c r="M60" s="25">
        <v>241.05</v>
      </c>
      <c r="N60" s="25">
        <v>51869.14</v>
      </c>
      <c r="O60" s="25">
        <v>5792.04</v>
      </c>
      <c r="P60" s="23">
        <f t="shared" si="6"/>
        <v>2.5125628140703071E-3</v>
      </c>
      <c r="Q60" s="23">
        <f t="shared" si="7"/>
        <v>-1.3161358252172795E-3</v>
      </c>
      <c r="R60" s="23">
        <f t="shared" si="8"/>
        <v>1.6949152542371504E-3</v>
      </c>
      <c r="S60" s="23">
        <f t="shared" si="9"/>
        <v>1.7428527748050815E-2</v>
      </c>
      <c r="T60" s="23">
        <f t="shared" si="10"/>
        <v>1.1715481171548081E-2</v>
      </c>
      <c r="U60" s="23">
        <f t="shared" si="11"/>
        <v>9.2115296629555754E-3</v>
      </c>
      <c r="V60" s="23">
        <f t="shared" si="12"/>
        <v>1.340849387040266E-2</v>
      </c>
      <c r="W60" s="23">
        <f t="shared" si="13"/>
        <v>-1.4110429447852679E-2</v>
      </c>
      <c r="X60" s="23">
        <f t="shared" si="14"/>
        <v>2.0187525693213804E-3</v>
      </c>
      <c r="Y60" s="23">
        <f t="shared" si="15"/>
        <v>7.1133846739683815E-3</v>
      </c>
    </row>
    <row r="61" spans="1:25" x14ac:dyDescent="0.3">
      <c r="A61" s="2">
        <f t="shared" si="2"/>
        <v>58</v>
      </c>
      <c r="B61" s="3">
        <v>45573</v>
      </c>
      <c r="C61" s="13">
        <f t="shared" si="3"/>
        <v>2024</v>
      </c>
      <c r="D61" s="13">
        <f t="shared" si="4"/>
        <v>10</v>
      </c>
      <c r="E61" s="24">
        <v>19.331</v>
      </c>
      <c r="F61" s="25">
        <v>51.74</v>
      </c>
      <c r="G61" s="25">
        <v>37.99</v>
      </c>
      <c r="H61" s="25">
        <v>11.8</v>
      </c>
      <c r="I61" s="25">
        <v>261.64</v>
      </c>
      <c r="J61" s="25">
        <v>11.95</v>
      </c>
      <c r="K61" s="25">
        <v>327.85</v>
      </c>
      <c r="L61" s="25">
        <v>182.72</v>
      </c>
      <c r="M61" s="25">
        <v>244.5</v>
      </c>
      <c r="N61" s="25">
        <v>51764.639999999999</v>
      </c>
      <c r="O61" s="25">
        <v>5751.13</v>
      </c>
      <c r="P61" s="23">
        <f t="shared" si="6"/>
        <v>-5.0000000000000044E-3</v>
      </c>
      <c r="Q61" s="23">
        <f t="shared" si="7"/>
        <v>-4.7157453497510549E-3</v>
      </c>
      <c r="R61" s="23">
        <f t="shared" si="8"/>
        <v>3.237095363079634E-2</v>
      </c>
      <c r="S61" s="23">
        <f t="shared" si="9"/>
        <v>-3.6178072279979823E-3</v>
      </c>
      <c r="T61" s="23">
        <f t="shared" si="10"/>
        <v>-5.8236272878535722E-3</v>
      </c>
      <c r="U61" s="23">
        <f t="shared" si="11"/>
        <v>5.5206256709094959E-3</v>
      </c>
      <c r="V61" s="23">
        <f t="shared" si="12"/>
        <v>1.0619469026548645E-2</v>
      </c>
      <c r="W61" s="23">
        <f t="shared" si="13"/>
        <v>1.5238965245193636E-2</v>
      </c>
      <c r="X61" s="23">
        <f t="shared" si="14"/>
        <v>-5.2888295070684377E-3</v>
      </c>
      <c r="Y61" s="23">
        <f t="shared" si="15"/>
        <v>9.68935768284096E-3</v>
      </c>
    </row>
    <row r="62" spans="1:25" x14ac:dyDescent="0.3">
      <c r="A62" s="2">
        <f t="shared" si="2"/>
        <v>59</v>
      </c>
      <c r="B62" s="3">
        <v>45572</v>
      </c>
      <c r="C62" s="13">
        <f t="shared" si="3"/>
        <v>2024</v>
      </c>
      <c r="D62" s="13">
        <f t="shared" si="4"/>
        <v>10</v>
      </c>
      <c r="E62" s="24">
        <v>19.27</v>
      </c>
      <c r="F62" s="25">
        <v>52</v>
      </c>
      <c r="G62" s="25">
        <v>38.17</v>
      </c>
      <c r="H62" s="25">
        <v>11.43</v>
      </c>
      <c r="I62" s="25">
        <v>262.58999999999997</v>
      </c>
      <c r="J62" s="25">
        <v>12.02</v>
      </c>
      <c r="K62" s="25">
        <v>326.05</v>
      </c>
      <c r="L62" s="25">
        <v>180.8</v>
      </c>
      <c r="M62" s="25">
        <v>240.83</v>
      </c>
      <c r="N62" s="25">
        <v>52039.87</v>
      </c>
      <c r="O62" s="25">
        <v>5695.94</v>
      </c>
      <c r="P62" s="23">
        <f t="shared" si="6"/>
        <v>-9.52380952380949E-3</v>
      </c>
      <c r="Q62" s="23">
        <f t="shared" si="7"/>
        <v>-1.062726801451519E-2</v>
      </c>
      <c r="R62" s="23">
        <f t="shared" si="8"/>
        <v>8.756567425569628E-4</v>
      </c>
      <c r="S62" s="23">
        <f t="shared" si="9"/>
        <v>-2.113621113844788E-2</v>
      </c>
      <c r="T62" s="23">
        <f t="shared" si="10"/>
        <v>1.0084033613445342E-2</v>
      </c>
      <c r="U62" s="23">
        <f t="shared" si="11"/>
        <v>4.2956644472402772E-4</v>
      </c>
      <c r="V62" s="23">
        <f t="shared" si="12"/>
        <v>-3.0614980430003658E-2</v>
      </c>
      <c r="W62" s="23">
        <f t="shared" si="13"/>
        <v>-3.6988163787587958E-2</v>
      </c>
      <c r="X62" s="23">
        <f t="shared" si="14"/>
        <v>-1.0834468893384464E-2</v>
      </c>
      <c r="Y62" s="23">
        <f t="shared" si="15"/>
        <v>-9.5860422495291919E-3</v>
      </c>
    </row>
    <row r="63" spans="1:25" x14ac:dyDescent="0.3">
      <c r="A63" s="2">
        <f t="shared" si="2"/>
        <v>60</v>
      </c>
      <c r="B63" s="3">
        <v>45569</v>
      </c>
      <c r="C63" s="13">
        <f t="shared" si="3"/>
        <v>2024</v>
      </c>
      <c r="D63" s="13">
        <f t="shared" si="4"/>
        <v>10</v>
      </c>
      <c r="E63" s="24">
        <v>19.257000000000001</v>
      </c>
      <c r="F63" s="25">
        <v>52.5</v>
      </c>
      <c r="G63" s="25">
        <v>38.58</v>
      </c>
      <c r="H63" s="25">
        <v>11.42</v>
      </c>
      <c r="I63" s="25">
        <v>268.26</v>
      </c>
      <c r="J63" s="25">
        <v>11.9</v>
      </c>
      <c r="K63" s="25">
        <v>325.91000000000003</v>
      </c>
      <c r="L63" s="25">
        <v>186.51</v>
      </c>
      <c r="M63" s="25">
        <v>250.08</v>
      </c>
      <c r="N63" s="25">
        <v>52609.87</v>
      </c>
      <c r="O63" s="25">
        <v>5751.07</v>
      </c>
      <c r="P63" s="23">
        <f t="shared" si="6"/>
        <v>1.8231186966640722E-2</v>
      </c>
      <c r="Q63" s="23">
        <f t="shared" si="7"/>
        <v>4.9492055222712938E-3</v>
      </c>
      <c r="R63" s="23">
        <f t="shared" si="8"/>
        <v>-1.8056749785038795E-2</v>
      </c>
      <c r="S63" s="23">
        <f t="shared" si="9"/>
        <v>3.252376736846152E-2</v>
      </c>
      <c r="T63" s="23">
        <f t="shared" si="10"/>
        <v>1.1045029736618694E-2</v>
      </c>
      <c r="U63" s="23">
        <f t="shared" si="11"/>
        <v>1.9966826276093252E-2</v>
      </c>
      <c r="V63" s="23">
        <f t="shared" si="12"/>
        <v>2.5005495713343429E-2</v>
      </c>
      <c r="W63" s="23">
        <f t="shared" si="13"/>
        <v>3.9142358514086428E-2</v>
      </c>
      <c r="X63" s="23">
        <f t="shared" si="14"/>
        <v>1.8100403022455636E-2</v>
      </c>
      <c r="Y63" s="23">
        <f t="shared" si="15"/>
        <v>8.9702698624898325E-3</v>
      </c>
    </row>
    <row r="64" spans="1:25" x14ac:dyDescent="0.3">
      <c r="A64" s="2">
        <f t="shared" si="2"/>
        <v>61</v>
      </c>
      <c r="B64" s="3">
        <v>45568</v>
      </c>
      <c r="C64" s="13">
        <f t="shared" si="3"/>
        <v>2024</v>
      </c>
      <c r="D64" s="13">
        <f t="shared" si="4"/>
        <v>10</v>
      </c>
      <c r="E64" s="24">
        <v>19.34</v>
      </c>
      <c r="F64" s="25">
        <v>51.56</v>
      </c>
      <c r="G64" s="25">
        <v>38.39</v>
      </c>
      <c r="H64" s="25">
        <v>11.63</v>
      </c>
      <c r="I64" s="25">
        <v>259.81</v>
      </c>
      <c r="J64" s="25">
        <v>11.77</v>
      </c>
      <c r="K64" s="25">
        <v>319.52999999999997</v>
      </c>
      <c r="L64" s="25">
        <v>181.96</v>
      </c>
      <c r="M64" s="25">
        <v>240.66</v>
      </c>
      <c r="N64" s="25">
        <v>51674.54</v>
      </c>
      <c r="O64" s="25">
        <v>5699.94</v>
      </c>
      <c r="P64" s="23">
        <f t="shared" si="6"/>
        <v>-1.1503067484662455E-2</v>
      </c>
      <c r="Q64" s="23">
        <f t="shared" si="7"/>
        <v>-9.5459236326108643E-3</v>
      </c>
      <c r="R64" s="23">
        <f t="shared" si="8"/>
        <v>1.0425716768027948E-2</v>
      </c>
      <c r="S64" s="23">
        <f t="shared" si="9"/>
        <v>-1.3854095498367802E-2</v>
      </c>
      <c r="T64" s="23">
        <f t="shared" si="10"/>
        <v>-5.0040355125100966E-2</v>
      </c>
      <c r="U64" s="23">
        <f t="shared" si="11"/>
        <v>-2.8400279745796286E-2</v>
      </c>
      <c r="V64" s="23">
        <f t="shared" si="12"/>
        <v>-1.5154795410261879E-2</v>
      </c>
      <c r="W64" s="23">
        <f t="shared" si="13"/>
        <v>-3.3571600674644708E-2</v>
      </c>
      <c r="X64" s="23">
        <f t="shared" si="14"/>
        <v>-1.0059835638776216E-2</v>
      </c>
      <c r="Y64" s="23">
        <f t="shared" si="15"/>
        <v>-1.681396399709989E-3</v>
      </c>
    </row>
    <row r="65" spans="1:25" x14ac:dyDescent="0.3">
      <c r="A65" s="2">
        <f t="shared" si="2"/>
        <v>62</v>
      </c>
      <c r="B65" s="3">
        <v>45567</v>
      </c>
      <c r="C65" s="13">
        <f t="shared" si="3"/>
        <v>2024</v>
      </c>
      <c r="D65" s="13">
        <f t="shared" si="4"/>
        <v>10</v>
      </c>
      <c r="E65" s="24">
        <v>19.399999999999999</v>
      </c>
      <c r="F65" s="25">
        <v>52.16</v>
      </c>
      <c r="G65" s="25">
        <v>38.76</v>
      </c>
      <c r="H65" s="25">
        <v>11.51</v>
      </c>
      <c r="I65" s="25">
        <v>263.45999999999998</v>
      </c>
      <c r="J65" s="25">
        <v>12.39</v>
      </c>
      <c r="K65" s="25">
        <v>328.87</v>
      </c>
      <c r="L65" s="25">
        <v>184.76</v>
      </c>
      <c r="M65" s="25">
        <v>249.02</v>
      </c>
      <c r="N65" s="25">
        <v>52199.66</v>
      </c>
      <c r="O65" s="25">
        <v>5709.54</v>
      </c>
      <c r="P65" s="23">
        <f t="shared" si="6"/>
        <v>-6.8545316070069973E-3</v>
      </c>
      <c r="Q65" s="23">
        <f t="shared" si="7"/>
        <v>-1.4242115971515812E-2</v>
      </c>
      <c r="R65" s="23">
        <f t="shared" si="8"/>
        <v>-4.560530679933672E-2</v>
      </c>
      <c r="S65" s="23">
        <f t="shared" si="9"/>
        <v>8.1120379582153568E-3</v>
      </c>
      <c r="T65" s="23">
        <f t="shared" si="10"/>
        <v>-3.2180209171358554E-3</v>
      </c>
      <c r="U65" s="23">
        <f t="shared" si="11"/>
        <v>-2.0433086110862919E-2</v>
      </c>
      <c r="V65" s="23">
        <f t="shared" si="12"/>
        <v>-8.4259110180863184E-3</v>
      </c>
      <c r="W65" s="23">
        <f t="shared" si="13"/>
        <v>-4.8197836639529035E-2</v>
      </c>
      <c r="X65" s="23">
        <f t="shared" si="14"/>
        <v>-5.2906685366815864E-3</v>
      </c>
      <c r="Y65" s="23">
        <f t="shared" si="15"/>
        <v>-9.1870167011425252E-3</v>
      </c>
    </row>
    <row r="66" spans="1:25" x14ac:dyDescent="0.3">
      <c r="A66" s="2">
        <f t="shared" si="2"/>
        <v>63</v>
      </c>
      <c r="B66" s="3">
        <v>45565</v>
      </c>
      <c r="C66" s="13">
        <f t="shared" si="3"/>
        <v>2024</v>
      </c>
      <c r="D66" s="13">
        <f t="shared" si="4"/>
        <v>9</v>
      </c>
      <c r="E66" s="24">
        <v>19.678000000000001</v>
      </c>
      <c r="F66" s="25">
        <v>52.52</v>
      </c>
      <c r="G66" s="25">
        <v>39.32</v>
      </c>
      <c r="H66" s="25">
        <v>12.06</v>
      </c>
      <c r="I66" s="25">
        <v>261.33999999999997</v>
      </c>
      <c r="J66" s="25">
        <v>12.43</v>
      </c>
      <c r="K66" s="25">
        <v>335.73</v>
      </c>
      <c r="L66" s="25">
        <v>186.33</v>
      </c>
      <c r="M66" s="25">
        <v>261.63</v>
      </c>
      <c r="N66" s="25">
        <v>52477.3</v>
      </c>
      <c r="O66" s="25">
        <v>5762.48</v>
      </c>
      <c r="P66" s="23">
        <f t="shared" si="6"/>
        <v>-3.0372057706908873E-3</v>
      </c>
      <c r="Q66" s="23">
        <f t="shared" si="7"/>
        <v>-4.5569620253164134E-3</v>
      </c>
      <c r="R66" s="23">
        <f t="shared" si="8"/>
        <v>-1.6313213703099461E-2</v>
      </c>
      <c r="S66" s="23">
        <f t="shared" si="9"/>
        <v>-3.8378040254627099E-2</v>
      </c>
      <c r="T66" s="23">
        <f t="shared" si="10"/>
        <v>-3.0421216848673938E-2</v>
      </c>
      <c r="U66" s="23">
        <f t="shared" si="11"/>
        <v>-2.3274081401099656E-2</v>
      </c>
      <c r="V66" s="23">
        <f t="shared" si="12"/>
        <v>-8.7247965100812896E-3</v>
      </c>
      <c r="W66" s="23">
        <f t="shared" si="13"/>
        <v>4.4920525224603214E-3</v>
      </c>
      <c r="X66" s="23">
        <f t="shared" si="14"/>
        <v>-5.7006523719939084E-3</v>
      </c>
      <c r="Y66" s="23">
        <f t="shared" si="15"/>
        <v>4.2365423122701085E-3</v>
      </c>
    </row>
    <row r="67" spans="1:25" x14ac:dyDescent="0.3">
      <c r="A67" s="2">
        <f t="shared" si="2"/>
        <v>64</v>
      </c>
      <c r="B67" s="3">
        <v>45562</v>
      </c>
      <c r="C67" s="13">
        <f t="shared" si="3"/>
        <v>2024</v>
      </c>
      <c r="D67" s="13">
        <f t="shared" si="4"/>
        <v>9</v>
      </c>
      <c r="E67" s="24">
        <v>19.702000000000002</v>
      </c>
      <c r="F67" s="25">
        <v>52.68</v>
      </c>
      <c r="G67" s="25">
        <v>39.5</v>
      </c>
      <c r="H67" s="25">
        <v>12.26</v>
      </c>
      <c r="I67" s="25">
        <v>271.77</v>
      </c>
      <c r="J67" s="25">
        <v>12.82</v>
      </c>
      <c r="K67" s="25">
        <v>343.73</v>
      </c>
      <c r="L67" s="25">
        <v>187.97</v>
      </c>
      <c r="M67" s="25">
        <v>260.45999999999998</v>
      </c>
      <c r="N67" s="25">
        <v>52778.17</v>
      </c>
      <c r="O67" s="25">
        <v>5738.17</v>
      </c>
      <c r="P67" s="23">
        <f t="shared" si="6"/>
        <v>-1.8446059250978197E-2</v>
      </c>
      <c r="Q67" s="23">
        <f t="shared" si="7"/>
        <v>-1.2499999999999956E-2</v>
      </c>
      <c r="R67" s="23">
        <f t="shared" si="8"/>
        <v>-2.6984126984126999E-2</v>
      </c>
      <c r="S67" s="23">
        <f t="shared" si="9"/>
        <v>-7.0395074397126889E-2</v>
      </c>
      <c r="T67" s="23">
        <f t="shared" si="10"/>
        <v>3.9154267815193489E-3</v>
      </c>
      <c r="U67" s="23">
        <f t="shared" si="11"/>
        <v>-1.1844185712232336E-2</v>
      </c>
      <c r="V67" s="23">
        <f t="shared" si="12"/>
        <v>-1.6687591546348579E-2</v>
      </c>
      <c r="W67" s="23">
        <f t="shared" si="13"/>
        <v>2.4545669105499046E-2</v>
      </c>
      <c r="X67" s="23">
        <f t="shared" si="14"/>
        <v>-1.5158464594111076E-2</v>
      </c>
      <c r="Y67" s="23">
        <f t="shared" si="15"/>
        <v>-1.2531829977877607E-3</v>
      </c>
    </row>
    <row r="68" spans="1:25" x14ac:dyDescent="0.3">
      <c r="A68" s="2">
        <f t="shared" ref="A68:A131" si="16">+A69-1</f>
        <v>65</v>
      </c>
      <c r="B68" s="3">
        <v>45561</v>
      </c>
      <c r="C68" s="13">
        <f t="shared" ref="C68:C131" si="17">+YEAR(B68)</f>
        <v>2024</v>
      </c>
      <c r="D68" s="13">
        <f t="shared" ref="D68:D131" si="18">+MONTH(B68)</f>
        <v>9</v>
      </c>
      <c r="E68" s="24">
        <v>19.611000000000001</v>
      </c>
      <c r="F68" s="25">
        <v>53.67</v>
      </c>
      <c r="G68" s="25">
        <v>40</v>
      </c>
      <c r="H68" s="25">
        <v>12.6</v>
      </c>
      <c r="I68" s="25">
        <v>292.35000000000002</v>
      </c>
      <c r="J68" s="25">
        <v>12.77</v>
      </c>
      <c r="K68" s="25">
        <v>347.85</v>
      </c>
      <c r="L68" s="25">
        <v>191.16</v>
      </c>
      <c r="M68" s="25">
        <v>254.22</v>
      </c>
      <c r="N68" s="25">
        <v>53590.52</v>
      </c>
      <c r="O68" s="25">
        <v>5745.37</v>
      </c>
      <c r="P68" s="23">
        <f t="shared" si="6"/>
        <v>1.264150943396225E-2</v>
      </c>
      <c r="Q68" s="23">
        <f t="shared" si="7"/>
        <v>2.0668537892319483E-2</v>
      </c>
      <c r="R68" s="23">
        <f t="shared" si="8"/>
        <v>4.784688995215447E-3</v>
      </c>
      <c r="S68" s="23">
        <f t="shared" si="9"/>
        <v>4.2283147349281736E-2</v>
      </c>
      <c r="T68" s="23">
        <f t="shared" si="10"/>
        <v>3.6525974025974017E-2</v>
      </c>
      <c r="U68" s="23">
        <f t="shared" si="11"/>
        <v>3.9250772028052161E-3</v>
      </c>
      <c r="V68" s="23">
        <f t="shared" si="12"/>
        <v>-7.1157741650652584E-3</v>
      </c>
      <c r="W68" s="23">
        <f t="shared" si="13"/>
        <v>-1.0894093844836861E-2</v>
      </c>
      <c r="X68" s="23">
        <f t="shared" si="14"/>
        <v>7.5123710000932764E-3</v>
      </c>
      <c r="Y68" s="23">
        <f t="shared" si="15"/>
        <v>4.0386141140038578E-3</v>
      </c>
    </row>
    <row r="69" spans="1:25" x14ac:dyDescent="0.3">
      <c r="A69" s="2">
        <f t="shared" si="16"/>
        <v>66</v>
      </c>
      <c r="B69" s="3">
        <v>45560</v>
      </c>
      <c r="C69" s="13">
        <f t="shared" si="17"/>
        <v>2024</v>
      </c>
      <c r="D69" s="13">
        <f t="shared" si="18"/>
        <v>9</v>
      </c>
      <c r="E69" s="24">
        <v>19.623999999999999</v>
      </c>
      <c r="F69" s="25">
        <v>53</v>
      </c>
      <c r="G69" s="25">
        <v>39.19</v>
      </c>
      <c r="H69" s="25">
        <v>12.54</v>
      </c>
      <c r="I69" s="25">
        <v>280.49</v>
      </c>
      <c r="J69" s="25">
        <v>12.32</v>
      </c>
      <c r="K69" s="25">
        <v>346.49</v>
      </c>
      <c r="L69" s="25">
        <v>192.53</v>
      </c>
      <c r="M69" s="25">
        <v>257.02</v>
      </c>
      <c r="N69" s="25">
        <v>53190.93</v>
      </c>
      <c r="O69" s="25">
        <v>5722.26</v>
      </c>
      <c r="P69" s="23">
        <f t="shared" ref="P69:P132" si="19">F69/F70-1</f>
        <v>-8.7899756873012214E-3</v>
      </c>
      <c r="Q69" s="23">
        <f t="shared" ref="Q69:Q132" si="20">G69/G70-1</f>
        <v>-2.6818971939409075E-2</v>
      </c>
      <c r="R69" s="23">
        <f t="shared" ref="R69:R132" si="21">H69/H70-1</f>
        <v>-6.3391442155309452E-3</v>
      </c>
      <c r="S69" s="23">
        <f t="shared" ref="S69:S132" si="22">I69/I70-1</f>
        <v>-6.0460909760836068E-2</v>
      </c>
      <c r="T69" s="23">
        <f t="shared" ref="T69:T132" si="23">J69/J70-1</f>
        <v>2.0712510356255098E-2</v>
      </c>
      <c r="U69" s="23">
        <f t="shared" ref="U69:U132" si="24">K69/K70-1</f>
        <v>-9.2076291784620734E-3</v>
      </c>
      <c r="V69" s="23">
        <f t="shared" ref="V69:V132" si="25">L69/L70-1</f>
        <v>-7.372654155496039E-3</v>
      </c>
      <c r="W69" s="23">
        <f t="shared" ref="W69:W132" si="26">M69/M70-1</f>
        <v>1.0815275101270228E-2</v>
      </c>
      <c r="X69" s="23">
        <f t="shared" ref="X69:X132" si="27">N69/N70-1</f>
        <v>-8.6297467381245552E-3</v>
      </c>
      <c r="Y69" s="23">
        <f t="shared" ref="Y69:Y132" si="28">O69/O70-1</f>
        <v>-1.8611774432969463E-3</v>
      </c>
    </row>
    <row r="70" spans="1:25" x14ac:dyDescent="0.3">
      <c r="A70" s="2">
        <f t="shared" si="16"/>
        <v>67</v>
      </c>
      <c r="B70" s="3">
        <v>45559</v>
      </c>
      <c r="C70" s="13">
        <f t="shared" si="17"/>
        <v>2024</v>
      </c>
      <c r="D70" s="13">
        <f t="shared" si="18"/>
        <v>9</v>
      </c>
      <c r="E70" s="24">
        <v>19.306000000000001</v>
      </c>
      <c r="F70" s="25">
        <v>53.47</v>
      </c>
      <c r="G70" s="25">
        <v>40.270000000000003</v>
      </c>
      <c r="H70" s="25">
        <v>12.62</v>
      </c>
      <c r="I70" s="25">
        <v>298.54000000000002</v>
      </c>
      <c r="J70" s="25">
        <v>12.07</v>
      </c>
      <c r="K70" s="25">
        <v>349.71</v>
      </c>
      <c r="L70" s="25">
        <v>193.96</v>
      </c>
      <c r="M70" s="25">
        <v>254.27</v>
      </c>
      <c r="N70" s="25">
        <v>53653.95</v>
      </c>
      <c r="O70" s="25">
        <v>5732.93</v>
      </c>
      <c r="P70" s="23">
        <f t="shared" si="19"/>
        <v>2.3741144935860659E-2</v>
      </c>
      <c r="Q70" s="23">
        <f t="shared" si="20"/>
        <v>1.5124779430299995E-2</v>
      </c>
      <c r="R70" s="23">
        <f t="shared" si="21"/>
        <v>1.040832666132907E-2</v>
      </c>
      <c r="S70" s="23">
        <f t="shared" si="22"/>
        <v>7.8306725420790313E-2</v>
      </c>
      <c r="T70" s="23">
        <f t="shared" si="23"/>
        <v>-2.029220779220775E-2</v>
      </c>
      <c r="U70" s="23">
        <f t="shared" si="24"/>
        <v>7.0842332613390013E-3</v>
      </c>
      <c r="V70" s="23">
        <f t="shared" si="25"/>
        <v>4.1262636682493081E-4</v>
      </c>
      <c r="W70" s="23">
        <f t="shared" si="26"/>
        <v>1.7079999999999984E-2</v>
      </c>
      <c r="X70" s="23">
        <f t="shared" si="27"/>
        <v>2.3495943706335343E-2</v>
      </c>
      <c r="Y70" s="23">
        <f t="shared" si="28"/>
        <v>2.5111172898120149E-3</v>
      </c>
    </row>
    <row r="71" spans="1:25" x14ac:dyDescent="0.3">
      <c r="A71" s="2">
        <f t="shared" si="16"/>
        <v>68</v>
      </c>
      <c r="B71" s="3">
        <v>45558</v>
      </c>
      <c r="C71" s="13">
        <f t="shared" si="17"/>
        <v>2024</v>
      </c>
      <c r="D71" s="13">
        <f t="shared" si="18"/>
        <v>9</v>
      </c>
      <c r="E71" s="24">
        <v>19.414999999999999</v>
      </c>
      <c r="F71" s="25">
        <v>52.23</v>
      </c>
      <c r="G71" s="25">
        <v>39.67</v>
      </c>
      <c r="H71" s="25">
        <v>12.49</v>
      </c>
      <c r="I71" s="25">
        <v>276.86</v>
      </c>
      <c r="J71" s="25">
        <v>12.32</v>
      </c>
      <c r="K71" s="25">
        <v>347.25</v>
      </c>
      <c r="L71" s="25">
        <v>193.88</v>
      </c>
      <c r="M71" s="25">
        <v>250</v>
      </c>
      <c r="N71" s="25">
        <v>52422.239999999998</v>
      </c>
      <c r="O71" s="25">
        <v>5718.57</v>
      </c>
      <c r="P71" s="23">
        <f t="shared" si="19"/>
        <v>1.3420245398771957E-3</v>
      </c>
      <c r="Q71" s="23">
        <f t="shared" si="20"/>
        <v>-3.0784265819692069E-2</v>
      </c>
      <c r="R71" s="23">
        <f t="shared" si="21"/>
        <v>8.0128205128193741E-4</v>
      </c>
      <c r="S71" s="23">
        <f t="shared" si="22"/>
        <v>-1.4066726780883609E-3</v>
      </c>
      <c r="T71" s="23">
        <f t="shared" si="23"/>
        <v>-7.2522159548751297E-3</v>
      </c>
      <c r="U71" s="23">
        <f t="shared" si="24"/>
        <v>-8.3104866346813688E-3</v>
      </c>
      <c r="V71" s="23">
        <f t="shared" si="25"/>
        <v>1.1899791231732681E-2</v>
      </c>
      <c r="W71" s="23">
        <f t="shared" si="26"/>
        <v>4.9317943336831149E-2</v>
      </c>
      <c r="X71" s="23">
        <f t="shared" si="27"/>
        <v>4.4406566101709011E-3</v>
      </c>
      <c r="Y71" s="23">
        <f t="shared" si="28"/>
        <v>2.8092695373120868E-3</v>
      </c>
    </row>
    <row r="72" spans="1:25" x14ac:dyDescent="0.3">
      <c r="A72" s="2">
        <f t="shared" si="16"/>
        <v>69</v>
      </c>
      <c r="B72" s="3">
        <v>45555</v>
      </c>
      <c r="C72" s="13">
        <f t="shared" si="17"/>
        <v>2024</v>
      </c>
      <c r="D72" s="13">
        <f t="shared" si="18"/>
        <v>9</v>
      </c>
      <c r="E72" s="24">
        <v>19.404</v>
      </c>
      <c r="F72" s="25">
        <v>52.16</v>
      </c>
      <c r="G72" s="25">
        <v>40.93</v>
      </c>
      <c r="H72" s="25">
        <v>12.48</v>
      </c>
      <c r="I72" s="25">
        <v>277.25</v>
      </c>
      <c r="J72" s="25">
        <v>12.41</v>
      </c>
      <c r="K72" s="25">
        <v>350.16</v>
      </c>
      <c r="L72" s="25">
        <v>191.6</v>
      </c>
      <c r="M72" s="25">
        <v>238.25</v>
      </c>
      <c r="N72" s="25">
        <v>52190.48</v>
      </c>
      <c r="O72" s="25">
        <v>5702.55</v>
      </c>
      <c r="P72" s="23">
        <f t="shared" si="19"/>
        <v>-1.0997345468335307E-2</v>
      </c>
      <c r="Q72" s="23">
        <f t="shared" si="20"/>
        <v>3.8305428716387535E-2</v>
      </c>
      <c r="R72" s="23">
        <f t="shared" si="21"/>
        <v>1.2165450121654597E-2</v>
      </c>
      <c r="S72" s="23">
        <f t="shared" si="22"/>
        <v>5.3942066448718906E-2</v>
      </c>
      <c r="T72" s="23">
        <f t="shared" si="23"/>
        <v>-2.2064617809298581E-2</v>
      </c>
      <c r="U72" s="23">
        <f t="shared" si="24"/>
        <v>9.222965183306675E-3</v>
      </c>
      <c r="V72" s="23">
        <f t="shared" si="25"/>
        <v>9.1114973402854904E-3</v>
      </c>
      <c r="W72" s="23">
        <f t="shared" si="26"/>
        <v>-2.3245326336503669E-2</v>
      </c>
      <c r="X72" s="23">
        <f t="shared" si="27"/>
        <v>-1.3748808534858714E-2</v>
      </c>
      <c r="Y72" s="23">
        <f t="shared" si="28"/>
        <v>-1.9409693295342478E-3</v>
      </c>
    </row>
    <row r="73" spans="1:25" x14ac:dyDescent="0.3">
      <c r="A73" s="2">
        <f t="shared" si="16"/>
        <v>70</v>
      </c>
      <c r="B73" s="3">
        <v>45554</v>
      </c>
      <c r="C73" s="13">
        <f t="shared" si="17"/>
        <v>2024</v>
      </c>
      <c r="D73" s="13">
        <f t="shared" si="18"/>
        <v>9</v>
      </c>
      <c r="E73" s="24">
        <v>19.3</v>
      </c>
      <c r="F73" s="25">
        <v>52.74</v>
      </c>
      <c r="G73" s="25">
        <v>39.42</v>
      </c>
      <c r="H73" s="25">
        <v>12.33</v>
      </c>
      <c r="I73" s="25">
        <v>263.06</v>
      </c>
      <c r="J73" s="25">
        <v>12.69</v>
      </c>
      <c r="K73" s="25">
        <v>346.96</v>
      </c>
      <c r="L73" s="25">
        <v>189.87</v>
      </c>
      <c r="M73" s="25">
        <v>243.92</v>
      </c>
      <c r="N73" s="25">
        <v>52918.04</v>
      </c>
      <c r="O73" s="25">
        <v>5713.64</v>
      </c>
      <c r="P73" s="23">
        <f t="shared" si="19"/>
        <v>4.3801180727480737E-3</v>
      </c>
      <c r="Q73" s="23">
        <f t="shared" si="20"/>
        <v>-8.8006034699522617E-3</v>
      </c>
      <c r="R73" s="23">
        <f t="shared" si="21"/>
        <v>3.2663316582914659E-2</v>
      </c>
      <c r="S73" s="23">
        <f t="shared" si="22"/>
        <v>1.7207377904953303E-2</v>
      </c>
      <c r="T73" s="23">
        <f t="shared" si="23"/>
        <v>-1.9319938176197815E-2</v>
      </c>
      <c r="U73" s="23">
        <f t="shared" si="24"/>
        <v>1.0675437837213142E-3</v>
      </c>
      <c r="V73" s="23">
        <f t="shared" si="25"/>
        <v>1.8451965885318833E-2</v>
      </c>
      <c r="W73" s="23">
        <f t="shared" si="26"/>
        <v>7.3591549295774605E-2</v>
      </c>
      <c r="X73" s="23">
        <f t="shared" si="27"/>
        <v>6.3737462889543739E-3</v>
      </c>
      <c r="Y73" s="23">
        <f t="shared" si="28"/>
        <v>1.6976786407179478E-2</v>
      </c>
    </row>
    <row r="74" spans="1:25" x14ac:dyDescent="0.3">
      <c r="A74" s="2">
        <f t="shared" si="16"/>
        <v>71</v>
      </c>
      <c r="B74" s="3">
        <v>45553</v>
      </c>
      <c r="C74" s="13">
        <f t="shared" si="17"/>
        <v>2024</v>
      </c>
      <c r="D74" s="13">
        <f t="shared" si="18"/>
        <v>9</v>
      </c>
      <c r="E74" s="24">
        <v>19.283000000000001</v>
      </c>
      <c r="F74" s="25">
        <v>52.51</v>
      </c>
      <c r="G74" s="25">
        <v>39.770000000000003</v>
      </c>
      <c r="H74" s="25">
        <v>11.94</v>
      </c>
      <c r="I74" s="25">
        <v>258.61</v>
      </c>
      <c r="J74" s="25">
        <v>12.94</v>
      </c>
      <c r="K74" s="25">
        <v>346.59</v>
      </c>
      <c r="L74" s="25">
        <v>186.43</v>
      </c>
      <c r="M74" s="25">
        <v>227.2</v>
      </c>
      <c r="N74" s="25">
        <v>52582.89</v>
      </c>
      <c r="O74" s="25">
        <v>5618.26</v>
      </c>
      <c r="P74" s="23">
        <f t="shared" si="19"/>
        <v>6.5171554533256515E-3</v>
      </c>
      <c r="Q74" s="23">
        <f t="shared" si="20"/>
        <v>-6.7432567432565982E-3</v>
      </c>
      <c r="R74" s="23">
        <f t="shared" si="21"/>
        <v>1.7035775127768327E-2</v>
      </c>
      <c r="S74" s="23">
        <f t="shared" si="22"/>
        <v>2.9474500678687843E-3</v>
      </c>
      <c r="T74" s="23">
        <f t="shared" si="23"/>
        <v>3.1007751937983663E-3</v>
      </c>
      <c r="U74" s="23">
        <f t="shared" si="24"/>
        <v>1.7736015269417038E-2</v>
      </c>
      <c r="V74" s="23">
        <f t="shared" si="25"/>
        <v>-2.4079623287670548E-3</v>
      </c>
      <c r="W74" s="23">
        <f t="shared" si="26"/>
        <v>-2.9402729626542001E-3</v>
      </c>
      <c r="X74" s="23">
        <f t="shared" si="27"/>
        <v>5.9181004229100775E-3</v>
      </c>
      <c r="Y74" s="23">
        <f t="shared" si="28"/>
        <v>-2.8964004415590328E-3</v>
      </c>
    </row>
    <row r="75" spans="1:25" x14ac:dyDescent="0.3">
      <c r="A75" s="2">
        <f t="shared" si="16"/>
        <v>72</v>
      </c>
      <c r="B75" s="3">
        <v>45552</v>
      </c>
      <c r="C75" s="13">
        <f t="shared" si="17"/>
        <v>2024</v>
      </c>
      <c r="D75" s="13">
        <f t="shared" si="18"/>
        <v>9</v>
      </c>
      <c r="E75" s="24">
        <v>19.091999999999999</v>
      </c>
      <c r="F75" s="25">
        <v>52.17</v>
      </c>
      <c r="G75" s="25">
        <v>40.04</v>
      </c>
      <c r="H75" s="25">
        <v>11.74</v>
      </c>
      <c r="I75" s="25">
        <v>257.85000000000002</v>
      </c>
      <c r="J75" s="25">
        <v>12.9</v>
      </c>
      <c r="K75" s="25">
        <v>340.55</v>
      </c>
      <c r="L75" s="25">
        <v>186.88</v>
      </c>
      <c r="M75" s="25">
        <v>227.87</v>
      </c>
      <c r="N75" s="25">
        <v>52273.53</v>
      </c>
      <c r="O75" s="25">
        <v>5634.58</v>
      </c>
      <c r="P75" s="23">
        <f t="shared" si="19"/>
        <v>5.3960300635960134E-3</v>
      </c>
      <c r="Q75" s="23">
        <f t="shared" si="20"/>
        <v>3.6500129433082895E-2</v>
      </c>
      <c r="R75" s="23">
        <f t="shared" si="21"/>
        <v>1.2942191544434989E-2</v>
      </c>
      <c r="S75" s="23">
        <f t="shared" si="22"/>
        <v>3.4752598418877234E-2</v>
      </c>
      <c r="T75" s="23">
        <f t="shared" si="23"/>
        <v>3.5313001605136396E-2</v>
      </c>
      <c r="U75" s="23">
        <f t="shared" si="24"/>
        <v>3.38808099820882E-2</v>
      </c>
      <c r="V75" s="23">
        <f t="shared" si="25"/>
        <v>2.0912649471820366E-3</v>
      </c>
      <c r="W75" s="23">
        <f t="shared" si="26"/>
        <v>-1.0508489296104817E-2</v>
      </c>
      <c r="X75" s="23">
        <f t="shared" si="27"/>
        <v>4.9345548605883582E-3</v>
      </c>
      <c r="Y75" s="23">
        <f t="shared" si="28"/>
        <v>1.521501878770426E-3</v>
      </c>
    </row>
    <row r="76" spans="1:25" x14ac:dyDescent="0.3">
      <c r="A76" s="2">
        <f t="shared" si="16"/>
        <v>73</v>
      </c>
      <c r="B76" s="3">
        <v>45548</v>
      </c>
      <c r="C76" s="13">
        <f t="shared" si="17"/>
        <v>2024</v>
      </c>
      <c r="D76" s="13">
        <f t="shared" si="18"/>
        <v>9</v>
      </c>
      <c r="E76" s="24">
        <v>19.187000000000001</v>
      </c>
      <c r="F76" s="25">
        <v>51.89</v>
      </c>
      <c r="G76" s="25">
        <v>38.630000000000003</v>
      </c>
      <c r="H76" s="25">
        <v>11.59</v>
      </c>
      <c r="I76" s="25">
        <v>249.19</v>
      </c>
      <c r="J76" s="25">
        <v>12.46</v>
      </c>
      <c r="K76" s="25">
        <v>329.39</v>
      </c>
      <c r="L76" s="25">
        <v>186.49</v>
      </c>
      <c r="M76" s="25">
        <v>230.29</v>
      </c>
      <c r="N76" s="25">
        <v>52016.85</v>
      </c>
      <c r="O76" s="25">
        <v>5626.02</v>
      </c>
      <c r="P76" s="23">
        <f t="shared" si="19"/>
        <v>-1.5393496247835259E-3</v>
      </c>
      <c r="Q76" s="23">
        <f t="shared" si="20"/>
        <v>-1.4540816326530592E-2</v>
      </c>
      <c r="R76" s="23">
        <f t="shared" si="21"/>
        <v>-5.1502145922747156E-3</v>
      </c>
      <c r="S76" s="23">
        <f t="shared" si="22"/>
        <v>3.1757204372308667E-2</v>
      </c>
      <c r="T76" s="23">
        <f t="shared" si="23"/>
        <v>-2.5801407349491656E-2</v>
      </c>
      <c r="U76" s="23">
        <f t="shared" si="24"/>
        <v>-1.2142184986196902E-4</v>
      </c>
      <c r="V76" s="23">
        <f t="shared" si="25"/>
        <v>-2.7272727272726893E-3</v>
      </c>
      <c r="W76" s="23">
        <f t="shared" si="26"/>
        <v>2.088681954658167E-3</v>
      </c>
      <c r="X76" s="23">
        <f t="shared" si="27"/>
        <v>3.2923247870697558E-4</v>
      </c>
      <c r="Y76" s="23">
        <f t="shared" si="28"/>
        <v>5.4076658041088965E-3</v>
      </c>
    </row>
    <row r="77" spans="1:25" x14ac:dyDescent="0.3">
      <c r="A77" s="2">
        <f t="shared" si="16"/>
        <v>74</v>
      </c>
      <c r="B77" s="3">
        <v>45547</v>
      </c>
      <c r="C77" s="13">
        <f t="shared" si="17"/>
        <v>2024</v>
      </c>
      <c r="D77" s="13">
        <f t="shared" si="18"/>
        <v>9</v>
      </c>
      <c r="E77" s="24">
        <v>19.510000000000002</v>
      </c>
      <c r="F77" s="25">
        <v>51.97</v>
      </c>
      <c r="G77" s="25">
        <v>39.200000000000003</v>
      </c>
      <c r="H77" s="25">
        <v>11.65</v>
      </c>
      <c r="I77" s="25">
        <v>241.52</v>
      </c>
      <c r="J77" s="25">
        <v>12.79</v>
      </c>
      <c r="K77" s="25">
        <v>329.43</v>
      </c>
      <c r="L77" s="25">
        <v>187</v>
      </c>
      <c r="M77" s="25">
        <v>229.81</v>
      </c>
      <c r="N77" s="25">
        <v>51999.73</v>
      </c>
      <c r="O77" s="25">
        <v>5595.76</v>
      </c>
      <c r="P77" s="23">
        <f t="shared" si="19"/>
        <v>1.5039062499999867E-2</v>
      </c>
      <c r="Q77" s="23">
        <f t="shared" si="20"/>
        <v>1.7653167185877505E-2</v>
      </c>
      <c r="R77" s="23">
        <f t="shared" si="21"/>
        <v>2.9151943462897512E-2</v>
      </c>
      <c r="S77" s="23">
        <f t="shared" si="22"/>
        <v>2.0147835269271441E-2</v>
      </c>
      <c r="T77" s="23">
        <f t="shared" si="23"/>
        <v>1.5079365079365026E-2</v>
      </c>
      <c r="U77" s="23">
        <f t="shared" si="24"/>
        <v>2.4290268711091301E-4</v>
      </c>
      <c r="V77" s="23">
        <f t="shared" si="25"/>
        <v>1.3440277476696183E-2</v>
      </c>
      <c r="W77" s="23">
        <f t="shared" si="26"/>
        <v>7.3642221540350938E-3</v>
      </c>
      <c r="X77" s="23">
        <f t="shared" si="27"/>
        <v>1.5703839536711728E-2</v>
      </c>
      <c r="Y77" s="23">
        <f t="shared" si="28"/>
        <v>7.4953232999588337E-3</v>
      </c>
    </row>
    <row r="78" spans="1:25" x14ac:dyDescent="0.3">
      <c r="A78" s="2">
        <f t="shared" si="16"/>
        <v>75</v>
      </c>
      <c r="B78" s="3">
        <v>45546</v>
      </c>
      <c r="C78" s="13">
        <f t="shared" si="17"/>
        <v>2024</v>
      </c>
      <c r="D78" s="13">
        <f t="shared" si="18"/>
        <v>9</v>
      </c>
      <c r="E78" s="24">
        <v>19.786000000000001</v>
      </c>
      <c r="F78" s="25">
        <v>51.2</v>
      </c>
      <c r="G78" s="25">
        <v>38.520000000000003</v>
      </c>
      <c r="H78" s="25">
        <v>11.32</v>
      </c>
      <c r="I78" s="25">
        <v>236.75</v>
      </c>
      <c r="J78" s="25">
        <v>12.6</v>
      </c>
      <c r="K78" s="25">
        <v>329.35</v>
      </c>
      <c r="L78" s="25">
        <v>184.52</v>
      </c>
      <c r="M78" s="25">
        <v>228.13</v>
      </c>
      <c r="N78" s="25">
        <v>51195.76</v>
      </c>
      <c r="O78" s="25">
        <v>5554.13</v>
      </c>
      <c r="P78" s="23">
        <f t="shared" si="19"/>
        <v>6.0915700530557171E-3</v>
      </c>
      <c r="Q78" s="23">
        <f t="shared" si="20"/>
        <v>-5.1652892561981911E-3</v>
      </c>
      <c r="R78" s="23">
        <f t="shared" si="21"/>
        <v>3.5460992907803135E-3</v>
      </c>
      <c r="S78" s="23">
        <f t="shared" si="22"/>
        <v>-3.3677120606188105E-3</v>
      </c>
      <c r="T78" s="23">
        <f t="shared" si="23"/>
        <v>1.7770597738287375E-2</v>
      </c>
      <c r="U78" s="23">
        <f t="shared" si="24"/>
        <v>-3.6001694197373979E-3</v>
      </c>
      <c r="V78" s="23">
        <f t="shared" si="25"/>
        <v>2.7680311890838194E-2</v>
      </c>
      <c r="W78" s="23">
        <f t="shared" si="26"/>
        <v>8.6660476632622885E-3</v>
      </c>
      <c r="X78" s="23">
        <f t="shared" si="27"/>
        <v>4.3679893182895224E-3</v>
      </c>
      <c r="Y78" s="23">
        <f t="shared" si="28"/>
        <v>1.0665050805019227E-2</v>
      </c>
    </row>
    <row r="79" spans="1:25" x14ac:dyDescent="0.3">
      <c r="A79" s="2">
        <f t="shared" si="16"/>
        <v>76</v>
      </c>
      <c r="B79" s="3">
        <v>45545</v>
      </c>
      <c r="C79" s="13">
        <f t="shared" si="17"/>
        <v>2024</v>
      </c>
      <c r="D79" s="13">
        <f t="shared" si="18"/>
        <v>9</v>
      </c>
      <c r="E79" s="24">
        <v>20.0945</v>
      </c>
      <c r="F79" s="25">
        <v>50.89</v>
      </c>
      <c r="G79" s="25">
        <v>38.72</v>
      </c>
      <c r="H79" s="25">
        <v>11.28</v>
      </c>
      <c r="I79" s="25">
        <v>237.55</v>
      </c>
      <c r="J79" s="25">
        <v>12.38</v>
      </c>
      <c r="K79" s="25">
        <v>330.54</v>
      </c>
      <c r="L79" s="25">
        <v>179.55</v>
      </c>
      <c r="M79" s="25">
        <v>226.17</v>
      </c>
      <c r="N79" s="25">
        <v>50973.11</v>
      </c>
      <c r="O79" s="25">
        <v>5495.52</v>
      </c>
      <c r="P79" s="23">
        <f t="shared" si="19"/>
        <v>-4.3044414009000276E-3</v>
      </c>
      <c r="Q79" s="23">
        <f t="shared" si="20"/>
        <v>8.4897730456710674E-2</v>
      </c>
      <c r="R79" s="23">
        <f t="shared" si="21"/>
        <v>-8.8573959255977552E-4</v>
      </c>
      <c r="S79" s="23">
        <f t="shared" si="22"/>
        <v>2.2688135009471422E-2</v>
      </c>
      <c r="T79" s="23">
        <f t="shared" si="23"/>
        <v>1.8930041152263488E-2</v>
      </c>
      <c r="U79" s="23">
        <f t="shared" si="24"/>
        <v>-4.2337002540215884E-4</v>
      </c>
      <c r="V79" s="23">
        <f t="shared" si="25"/>
        <v>2.3660205245153998E-2</v>
      </c>
      <c r="W79" s="23">
        <f t="shared" si="26"/>
        <v>4.5776113191843493E-2</v>
      </c>
      <c r="X79" s="23">
        <f t="shared" si="27"/>
        <v>-3.1864017654864574E-3</v>
      </c>
      <c r="Y79" s="23">
        <f t="shared" si="28"/>
        <v>4.4726332239699573E-3</v>
      </c>
    </row>
    <row r="80" spans="1:25" x14ac:dyDescent="0.3">
      <c r="A80" s="2">
        <f t="shared" si="16"/>
        <v>77</v>
      </c>
      <c r="B80" s="3">
        <v>45544</v>
      </c>
      <c r="C80" s="13">
        <f t="shared" si="17"/>
        <v>2024</v>
      </c>
      <c r="D80" s="13">
        <f t="shared" si="18"/>
        <v>9</v>
      </c>
      <c r="E80" s="24">
        <v>19.881</v>
      </c>
      <c r="F80" s="25">
        <v>51.11</v>
      </c>
      <c r="G80" s="25">
        <v>35.69</v>
      </c>
      <c r="H80" s="25">
        <v>11.29</v>
      </c>
      <c r="I80" s="25">
        <v>232.28</v>
      </c>
      <c r="J80" s="25">
        <v>12.15</v>
      </c>
      <c r="K80" s="25">
        <v>330.68</v>
      </c>
      <c r="L80" s="25">
        <v>175.4</v>
      </c>
      <c r="M80" s="25">
        <v>216.27</v>
      </c>
      <c r="N80" s="25">
        <v>51136.05</v>
      </c>
      <c r="O80" s="25">
        <v>5471.05</v>
      </c>
      <c r="P80" s="23">
        <f t="shared" si="19"/>
        <v>3.9146604032103127E-4</v>
      </c>
      <c r="Q80" s="23">
        <f t="shared" si="20"/>
        <v>4.9397236107027398E-2</v>
      </c>
      <c r="R80" s="23">
        <f t="shared" si="21"/>
        <v>-6.1619718309859906E-3</v>
      </c>
      <c r="S80" s="23">
        <f t="shared" si="22"/>
        <v>1.0132637529897792E-2</v>
      </c>
      <c r="T80" s="23">
        <f t="shared" si="23"/>
        <v>2.7049873203719432E-2</v>
      </c>
      <c r="U80" s="23">
        <f t="shared" si="24"/>
        <v>7.6791808873719614E-3</v>
      </c>
      <c r="V80" s="23">
        <f t="shared" si="25"/>
        <v>2.3396930976136376E-2</v>
      </c>
      <c r="W80" s="23">
        <f t="shared" si="26"/>
        <v>2.6289564846011526E-2</v>
      </c>
      <c r="X80" s="23">
        <f t="shared" si="27"/>
        <v>1.0298836570128422E-3</v>
      </c>
      <c r="Y80" s="23">
        <f t="shared" si="28"/>
        <v>1.1580091782812829E-2</v>
      </c>
    </row>
    <row r="81" spans="1:25" x14ac:dyDescent="0.3">
      <c r="A81" s="2">
        <f t="shared" si="16"/>
        <v>78</v>
      </c>
      <c r="B81" s="3">
        <v>45541</v>
      </c>
      <c r="C81" s="13">
        <f t="shared" si="17"/>
        <v>2024</v>
      </c>
      <c r="D81" s="13">
        <f t="shared" si="18"/>
        <v>9</v>
      </c>
      <c r="E81" s="24">
        <v>19.969000000000001</v>
      </c>
      <c r="F81" s="25">
        <v>51.09</v>
      </c>
      <c r="G81" s="25">
        <v>34.01</v>
      </c>
      <c r="H81" s="25">
        <v>11.36</v>
      </c>
      <c r="I81" s="25">
        <v>229.95</v>
      </c>
      <c r="J81" s="25">
        <v>11.83</v>
      </c>
      <c r="K81" s="25">
        <v>328.16</v>
      </c>
      <c r="L81" s="25">
        <v>171.39</v>
      </c>
      <c r="M81" s="25">
        <v>210.73</v>
      </c>
      <c r="N81" s="25">
        <v>51083.44</v>
      </c>
      <c r="O81" s="25">
        <v>5408.42</v>
      </c>
      <c r="P81" s="23">
        <f t="shared" si="19"/>
        <v>-1.1033681765388992E-2</v>
      </c>
      <c r="Q81" s="23">
        <f t="shared" si="20"/>
        <v>-1.1747430249632318E-3</v>
      </c>
      <c r="R81" s="23">
        <f t="shared" si="21"/>
        <v>-2.4054982817869552E-2</v>
      </c>
      <c r="S81" s="23">
        <f t="shared" si="22"/>
        <v>-1.4697060587882449E-2</v>
      </c>
      <c r="T81" s="23">
        <f t="shared" si="23"/>
        <v>1.7196904557179593E-2</v>
      </c>
      <c r="U81" s="23">
        <f t="shared" si="24"/>
        <v>-3.1176192725555052E-2</v>
      </c>
      <c r="V81" s="23">
        <f t="shared" si="25"/>
        <v>-3.6539434481983268E-2</v>
      </c>
      <c r="W81" s="23">
        <f t="shared" si="26"/>
        <v>-8.4459312681930743E-2</v>
      </c>
      <c r="X81" s="23">
        <f t="shared" si="27"/>
        <v>-1.1188994198385371E-2</v>
      </c>
      <c r="Y81" s="23">
        <f t="shared" si="28"/>
        <v>-1.726020776209658E-2</v>
      </c>
    </row>
    <row r="82" spans="1:25" x14ac:dyDescent="0.3">
      <c r="A82" s="2">
        <f t="shared" si="16"/>
        <v>79</v>
      </c>
      <c r="B82" s="3">
        <v>45540</v>
      </c>
      <c r="C82" s="13">
        <f t="shared" si="17"/>
        <v>2024</v>
      </c>
      <c r="D82" s="13">
        <f t="shared" si="18"/>
        <v>9</v>
      </c>
      <c r="E82" s="24">
        <v>19.861000000000001</v>
      </c>
      <c r="F82" s="25">
        <v>51.66</v>
      </c>
      <c r="G82" s="25">
        <v>34.049999999999997</v>
      </c>
      <c r="H82" s="25">
        <v>11.64</v>
      </c>
      <c r="I82" s="25">
        <v>233.38</v>
      </c>
      <c r="J82" s="25">
        <v>11.63</v>
      </c>
      <c r="K82" s="25">
        <v>338.72</v>
      </c>
      <c r="L82" s="25">
        <v>177.89</v>
      </c>
      <c r="M82" s="25">
        <v>230.17</v>
      </c>
      <c r="N82" s="25">
        <v>51661.48</v>
      </c>
      <c r="O82" s="25">
        <v>5503.41</v>
      </c>
      <c r="P82" s="23">
        <f t="shared" si="19"/>
        <v>-3.8699690402488329E-4</v>
      </c>
      <c r="Q82" s="23">
        <f t="shared" si="20"/>
        <v>1.76329946204421E-2</v>
      </c>
      <c r="R82" s="23">
        <f t="shared" si="21"/>
        <v>8.6655112651647936E-3</v>
      </c>
      <c r="S82" s="23">
        <f t="shared" si="22"/>
        <v>1.350588439657785E-2</v>
      </c>
      <c r="T82" s="23">
        <f t="shared" si="23"/>
        <v>4.0250447227191399E-2</v>
      </c>
      <c r="U82" s="23">
        <f t="shared" si="24"/>
        <v>-1.4345991561181326E-2</v>
      </c>
      <c r="V82" s="23">
        <f t="shared" si="25"/>
        <v>2.6308198234581193E-2</v>
      </c>
      <c r="W82" s="23">
        <f t="shared" si="26"/>
        <v>4.904060890570161E-2</v>
      </c>
      <c r="X82" s="23">
        <f t="shared" si="27"/>
        <v>-2.892994336957333E-3</v>
      </c>
      <c r="Y82" s="23">
        <f t="shared" si="28"/>
        <v>-3.0180776693048417E-3</v>
      </c>
    </row>
    <row r="83" spans="1:25" x14ac:dyDescent="0.3">
      <c r="A83" s="2">
        <f t="shared" si="16"/>
        <v>80</v>
      </c>
      <c r="B83" s="3">
        <v>45539</v>
      </c>
      <c r="C83" s="13">
        <f t="shared" si="17"/>
        <v>2024</v>
      </c>
      <c r="D83" s="13">
        <f t="shared" si="18"/>
        <v>9</v>
      </c>
      <c r="E83" s="24">
        <v>19.925000000000001</v>
      </c>
      <c r="F83" s="25">
        <v>51.68</v>
      </c>
      <c r="G83" s="25">
        <v>33.46</v>
      </c>
      <c r="H83" s="25">
        <v>11.54</v>
      </c>
      <c r="I83" s="25">
        <v>230.27</v>
      </c>
      <c r="J83" s="25">
        <v>11.18</v>
      </c>
      <c r="K83" s="25">
        <v>343.65</v>
      </c>
      <c r="L83" s="25">
        <v>173.33</v>
      </c>
      <c r="M83" s="25">
        <v>219.41</v>
      </c>
      <c r="N83" s="25">
        <v>51811.37</v>
      </c>
      <c r="O83" s="25">
        <v>5520.07</v>
      </c>
      <c r="P83" s="23">
        <f t="shared" si="19"/>
        <v>3.3003300330032292E-3</v>
      </c>
      <c r="Q83" s="23">
        <f t="shared" si="20"/>
        <v>-1.2688108586603741E-2</v>
      </c>
      <c r="R83" s="23">
        <f t="shared" si="21"/>
        <v>-2.533783783783794E-2</v>
      </c>
      <c r="S83" s="23">
        <f t="shared" si="22"/>
        <v>-2.1002508396751773E-2</v>
      </c>
      <c r="T83" s="23">
        <f t="shared" si="23"/>
        <v>8.9525514771704451E-4</v>
      </c>
      <c r="U83" s="23">
        <f t="shared" si="24"/>
        <v>1.7438417811463713E-2</v>
      </c>
      <c r="V83" s="23">
        <f t="shared" si="25"/>
        <v>-1.6567375886524793E-2</v>
      </c>
      <c r="W83" s="23">
        <f t="shared" si="26"/>
        <v>4.1832858499525116E-2</v>
      </c>
      <c r="X83" s="23">
        <f t="shared" si="27"/>
        <v>4.3022387148372587E-3</v>
      </c>
      <c r="Y83" s="23">
        <f t="shared" si="28"/>
        <v>-1.6024800458679378E-3</v>
      </c>
    </row>
    <row r="84" spans="1:25" x14ac:dyDescent="0.3">
      <c r="A84" s="2">
        <f t="shared" si="16"/>
        <v>81</v>
      </c>
      <c r="B84" s="3">
        <v>45538</v>
      </c>
      <c r="C84" s="13">
        <f t="shared" si="17"/>
        <v>2024</v>
      </c>
      <c r="D84" s="13">
        <f t="shared" si="18"/>
        <v>9</v>
      </c>
      <c r="E84" s="24">
        <v>19.7836</v>
      </c>
      <c r="F84" s="25">
        <v>51.51</v>
      </c>
      <c r="G84" s="25">
        <v>33.89</v>
      </c>
      <c r="H84" s="25">
        <v>11.84</v>
      </c>
      <c r="I84" s="25">
        <v>235.21</v>
      </c>
      <c r="J84" s="25">
        <v>11.17</v>
      </c>
      <c r="K84" s="25">
        <v>337.76</v>
      </c>
      <c r="L84" s="25">
        <v>176.25</v>
      </c>
      <c r="M84" s="25">
        <v>210.6</v>
      </c>
      <c r="N84" s="25">
        <v>51589.42</v>
      </c>
      <c r="O84" s="25">
        <v>5528.93</v>
      </c>
      <c r="P84" s="23">
        <f t="shared" si="19"/>
        <v>-1.7921830314585385E-2</v>
      </c>
      <c r="Q84" s="23">
        <f t="shared" si="20"/>
        <v>1.5278609946075328E-2</v>
      </c>
      <c r="R84" s="23">
        <f t="shared" si="21"/>
        <v>-1.0860484544695126E-2</v>
      </c>
      <c r="S84" s="23">
        <f t="shared" si="22"/>
        <v>-1.5528210279591392E-2</v>
      </c>
      <c r="T84" s="23">
        <f t="shared" si="23"/>
        <v>1.7937219730941312E-3</v>
      </c>
      <c r="U84" s="23">
        <f t="shared" si="24"/>
        <v>-1.6853442002619734E-2</v>
      </c>
      <c r="V84" s="23">
        <f t="shared" si="25"/>
        <v>-1.2605042016806678E-2</v>
      </c>
      <c r="W84" s="23">
        <f t="shared" si="26"/>
        <v>-1.6393442622950949E-2</v>
      </c>
      <c r="X84" s="23">
        <f t="shared" si="27"/>
        <v>-1.722045713192788E-2</v>
      </c>
      <c r="Y84" s="23">
        <f t="shared" si="28"/>
        <v>-2.1151122441753323E-2</v>
      </c>
    </row>
    <row r="85" spans="1:25" x14ac:dyDescent="0.3">
      <c r="A85" s="2">
        <f t="shared" si="16"/>
        <v>82</v>
      </c>
      <c r="B85" s="3">
        <v>45537</v>
      </c>
      <c r="C85" s="13">
        <f t="shared" si="17"/>
        <v>2024</v>
      </c>
      <c r="D85" s="13">
        <f t="shared" si="18"/>
        <v>9</v>
      </c>
      <c r="E85" s="24">
        <v>19.812000000000001</v>
      </c>
      <c r="F85" s="25">
        <v>52.45</v>
      </c>
      <c r="G85" s="25">
        <v>33.380000000000003</v>
      </c>
      <c r="H85" s="25">
        <v>11.97</v>
      </c>
      <c r="I85" s="25">
        <v>238.92</v>
      </c>
      <c r="J85" s="25">
        <v>11.15</v>
      </c>
      <c r="K85" s="25">
        <v>343.55</v>
      </c>
      <c r="L85" s="25">
        <v>178.5</v>
      </c>
      <c r="M85" s="25">
        <v>214.11</v>
      </c>
      <c r="N85" s="25">
        <v>52493.38</v>
      </c>
      <c r="O85" s="25">
        <v>5648.4</v>
      </c>
      <c r="P85" s="23">
        <f t="shared" si="19"/>
        <v>1.1766975308642014E-2</v>
      </c>
      <c r="Q85" s="23">
        <f t="shared" si="20"/>
        <v>-9.4955489614243493E-3</v>
      </c>
      <c r="R85" s="23">
        <f t="shared" si="21"/>
        <v>0</v>
      </c>
      <c r="S85" s="23">
        <f t="shared" si="22"/>
        <v>1.0916476263010955E-2</v>
      </c>
      <c r="T85" s="23">
        <f t="shared" si="23"/>
        <v>-4.4642857142855874E-3</v>
      </c>
      <c r="U85" s="23">
        <f t="shared" si="24"/>
        <v>3.1535608958448424E-3</v>
      </c>
      <c r="V85" s="23">
        <f t="shared" si="25"/>
        <v>0</v>
      </c>
      <c r="W85" s="23">
        <f t="shared" si="26"/>
        <v>0</v>
      </c>
      <c r="X85" s="23">
        <f t="shared" si="27"/>
        <v>9.7624604531960646E-3</v>
      </c>
      <c r="Y85" s="23">
        <f t="shared" si="28"/>
        <v>0</v>
      </c>
    </row>
    <row r="86" spans="1:25" x14ac:dyDescent="0.3">
      <c r="A86" s="2">
        <f t="shared" si="16"/>
        <v>83</v>
      </c>
      <c r="B86" s="3">
        <v>45534</v>
      </c>
      <c r="C86" s="13">
        <f t="shared" si="17"/>
        <v>2024</v>
      </c>
      <c r="D86" s="13">
        <f t="shared" si="18"/>
        <v>8</v>
      </c>
      <c r="E86" s="24">
        <v>19.71</v>
      </c>
      <c r="F86" s="25">
        <v>51.84</v>
      </c>
      <c r="G86" s="25">
        <v>33.700000000000003</v>
      </c>
      <c r="H86" s="25">
        <v>11.97</v>
      </c>
      <c r="I86" s="25">
        <v>236.34</v>
      </c>
      <c r="J86" s="25">
        <v>11.2</v>
      </c>
      <c r="K86" s="25">
        <v>342.47</v>
      </c>
      <c r="L86" s="25">
        <v>178.5</v>
      </c>
      <c r="M86" s="25">
        <v>214.11</v>
      </c>
      <c r="N86" s="25">
        <v>51985.87</v>
      </c>
      <c r="O86" s="25">
        <v>5648.4</v>
      </c>
      <c r="P86" s="23">
        <f t="shared" si="19"/>
        <v>-5.372217958557024E-3</v>
      </c>
      <c r="Q86" s="23">
        <f t="shared" si="20"/>
        <v>-9.9882491186837896E-3</v>
      </c>
      <c r="R86" s="23">
        <f t="shared" si="21"/>
        <v>1.6736401673640433E-3</v>
      </c>
      <c r="S86" s="23">
        <f t="shared" si="22"/>
        <v>-2.405976953273381E-3</v>
      </c>
      <c r="T86" s="23">
        <f t="shared" si="23"/>
        <v>-1.4951627088830244E-2</v>
      </c>
      <c r="U86" s="23">
        <f t="shared" si="24"/>
        <v>-1.1316723923900707E-2</v>
      </c>
      <c r="V86" s="23">
        <f t="shared" si="25"/>
        <v>3.7067162444806012E-2</v>
      </c>
      <c r="W86" s="23">
        <f t="shared" si="26"/>
        <v>3.795811518324621E-2</v>
      </c>
      <c r="X86" s="23">
        <f t="shared" si="27"/>
        <v>-2.1699521405763256E-2</v>
      </c>
      <c r="Y86" s="23">
        <f t="shared" si="28"/>
        <v>1.0093062182132906E-2</v>
      </c>
    </row>
    <row r="87" spans="1:25" x14ac:dyDescent="0.3">
      <c r="A87" s="2">
        <f t="shared" si="16"/>
        <v>84</v>
      </c>
      <c r="B87" s="3">
        <v>45533</v>
      </c>
      <c r="C87" s="13">
        <f t="shared" si="17"/>
        <v>2024</v>
      </c>
      <c r="D87" s="13">
        <f t="shared" si="18"/>
        <v>8</v>
      </c>
      <c r="E87" s="24">
        <v>19.835000000000001</v>
      </c>
      <c r="F87" s="25">
        <v>52.12</v>
      </c>
      <c r="G87" s="25">
        <v>34.04</v>
      </c>
      <c r="H87" s="25">
        <v>11.95</v>
      </c>
      <c r="I87" s="25">
        <v>236.91</v>
      </c>
      <c r="J87" s="25">
        <v>11.37</v>
      </c>
      <c r="K87" s="25">
        <v>346.39</v>
      </c>
      <c r="L87" s="25">
        <v>172.12</v>
      </c>
      <c r="M87" s="25">
        <v>206.28</v>
      </c>
      <c r="N87" s="25">
        <v>53138.96</v>
      </c>
      <c r="O87" s="25">
        <v>5591.96</v>
      </c>
      <c r="P87" s="23">
        <f t="shared" si="19"/>
        <v>1.3810542695973593E-2</v>
      </c>
      <c r="Q87" s="23">
        <f t="shared" si="20"/>
        <v>-1.3619240799768173E-2</v>
      </c>
      <c r="R87" s="23">
        <f t="shared" si="21"/>
        <v>2.4871355060034128E-2</v>
      </c>
      <c r="S87" s="23">
        <f t="shared" si="22"/>
        <v>-5.7912627470728673E-3</v>
      </c>
      <c r="T87" s="23">
        <f t="shared" si="23"/>
        <v>4.4169611307418588E-3</v>
      </c>
      <c r="U87" s="23">
        <f t="shared" si="24"/>
        <v>5.3305357903058903E-2</v>
      </c>
      <c r="V87" s="23">
        <f t="shared" si="25"/>
        <v>7.7283372365339886E-3</v>
      </c>
      <c r="W87" s="23">
        <f t="shared" si="26"/>
        <v>2.5759416767923149E-3</v>
      </c>
      <c r="X87" s="23">
        <f t="shared" si="27"/>
        <v>1.3331268746470837E-2</v>
      </c>
      <c r="Y87" s="23">
        <f t="shared" si="28"/>
        <v>-3.9340650694441592E-5</v>
      </c>
    </row>
    <row r="88" spans="1:25" x14ac:dyDescent="0.3">
      <c r="A88" s="2">
        <f t="shared" si="16"/>
        <v>85</v>
      </c>
      <c r="B88" s="3">
        <v>45532</v>
      </c>
      <c r="C88" s="13">
        <f t="shared" si="17"/>
        <v>2024</v>
      </c>
      <c r="D88" s="13">
        <f t="shared" si="18"/>
        <v>8</v>
      </c>
      <c r="E88" s="24">
        <v>19.641200000000001</v>
      </c>
      <c r="F88" s="25">
        <v>51.41</v>
      </c>
      <c r="G88" s="25">
        <v>34.51</v>
      </c>
      <c r="H88" s="25">
        <v>11.66</v>
      </c>
      <c r="I88" s="25">
        <v>238.29</v>
      </c>
      <c r="J88" s="25">
        <v>11.32</v>
      </c>
      <c r="K88" s="25">
        <v>328.86</v>
      </c>
      <c r="L88" s="25">
        <v>170.8</v>
      </c>
      <c r="M88" s="25">
        <v>205.75</v>
      </c>
      <c r="N88" s="25">
        <v>52439.87</v>
      </c>
      <c r="O88" s="25">
        <v>5592.18</v>
      </c>
      <c r="P88" s="23">
        <f t="shared" si="19"/>
        <v>-1.9413706076489845E-3</v>
      </c>
      <c r="Q88" s="23">
        <f t="shared" si="20"/>
        <v>-5.7620282339384543E-3</v>
      </c>
      <c r="R88" s="23">
        <f t="shared" si="21"/>
        <v>-1.2701100762066098E-2</v>
      </c>
      <c r="S88" s="23">
        <f t="shared" si="22"/>
        <v>-3.5731628358692147E-2</v>
      </c>
      <c r="T88" s="23">
        <f t="shared" si="23"/>
        <v>6.2222222222223511E-3</v>
      </c>
      <c r="U88" s="23">
        <f t="shared" si="24"/>
        <v>8.4237249019155414E-2</v>
      </c>
      <c r="V88" s="23">
        <f t="shared" si="25"/>
        <v>-1.3401109057301297E-2</v>
      </c>
      <c r="W88" s="23">
        <f t="shared" si="26"/>
        <v>-1.6538406385928073E-2</v>
      </c>
      <c r="X88" s="23">
        <f t="shared" si="27"/>
        <v>-6.5632115982072747E-4</v>
      </c>
      <c r="Y88" s="23">
        <f t="shared" si="28"/>
        <v>-5.9760389633474187E-3</v>
      </c>
    </row>
    <row r="89" spans="1:25" x14ac:dyDescent="0.3">
      <c r="A89" s="2">
        <f t="shared" si="16"/>
        <v>86</v>
      </c>
      <c r="B89" s="3">
        <v>45531</v>
      </c>
      <c r="C89" s="13">
        <f t="shared" si="17"/>
        <v>2024</v>
      </c>
      <c r="D89" s="13">
        <f t="shared" si="18"/>
        <v>8</v>
      </c>
      <c r="E89" s="24">
        <v>19.75</v>
      </c>
      <c r="F89" s="25">
        <v>51.51</v>
      </c>
      <c r="G89" s="25">
        <v>34.71</v>
      </c>
      <c r="H89" s="25">
        <v>11.81</v>
      </c>
      <c r="I89" s="25">
        <v>247.12</v>
      </c>
      <c r="J89" s="25">
        <v>11.25</v>
      </c>
      <c r="K89" s="25">
        <v>303.31</v>
      </c>
      <c r="L89" s="25">
        <v>173.12</v>
      </c>
      <c r="M89" s="25">
        <v>209.21</v>
      </c>
      <c r="N89" s="25">
        <v>52474.31</v>
      </c>
      <c r="O89" s="25">
        <v>5625.8</v>
      </c>
      <c r="P89" s="23">
        <f t="shared" si="19"/>
        <v>-1.2082853855005848E-2</v>
      </c>
      <c r="Q89" s="23">
        <f t="shared" si="20"/>
        <v>2.7531083481349805E-2</v>
      </c>
      <c r="R89" s="23">
        <f t="shared" si="21"/>
        <v>-2.8782894736842035E-2</v>
      </c>
      <c r="S89" s="23">
        <f t="shared" si="22"/>
        <v>-1.8897887883118858E-2</v>
      </c>
      <c r="T89" s="23">
        <f t="shared" si="23"/>
        <v>8.0645161290322509E-3</v>
      </c>
      <c r="U89" s="23">
        <f t="shared" si="24"/>
        <v>-2.0411458837967911E-2</v>
      </c>
      <c r="V89" s="23">
        <f t="shared" si="25"/>
        <v>-1.3561253561253483E-2</v>
      </c>
      <c r="W89" s="23">
        <f t="shared" si="26"/>
        <v>-1.8760846114159735E-2</v>
      </c>
      <c r="X89" s="23">
        <f t="shared" si="27"/>
        <v>-1.3108573025565895E-2</v>
      </c>
      <c r="Y89" s="23">
        <f t="shared" si="28"/>
        <v>1.5952029967027936E-3</v>
      </c>
    </row>
    <row r="90" spans="1:25" x14ac:dyDescent="0.3">
      <c r="A90" s="2">
        <f t="shared" si="16"/>
        <v>87</v>
      </c>
      <c r="B90" s="3">
        <v>45530</v>
      </c>
      <c r="C90" s="13">
        <f t="shared" si="17"/>
        <v>2024</v>
      </c>
      <c r="D90" s="13">
        <f t="shared" si="18"/>
        <v>8</v>
      </c>
      <c r="E90" s="24">
        <v>19.395</v>
      </c>
      <c r="F90" s="25">
        <v>52.14</v>
      </c>
      <c r="G90" s="25">
        <v>33.78</v>
      </c>
      <c r="H90" s="25">
        <v>12.16</v>
      </c>
      <c r="I90" s="25">
        <v>251.88</v>
      </c>
      <c r="J90" s="25">
        <v>11.16</v>
      </c>
      <c r="K90" s="25">
        <v>309.63</v>
      </c>
      <c r="L90" s="25">
        <v>175.5</v>
      </c>
      <c r="M90" s="25">
        <v>213.21</v>
      </c>
      <c r="N90" s="25">
        <v>53171.31</v>
      </c>
      <c r="O90" s="25">
        <v>5616.84</v>
      </c>
      <c r="P90" s="23">
        <f t="shared" si="19"/>
        <v>-3.6308045098413233E-3</v>
      </c>
      <c r="Q90" s="23">
        <f t="shared" si="20"/>
        <v>1.8083182640144635E-2</v>
      </c>
      <c r="R90" s="23">
        <f t="shared" si="21"/>
        <v>-2.7977617905675434E-2</v>
      </c>
      <c r="S90" s="23">
        <f t="shared" si="22"/>
        <v>4.025989556343923E-3</v>
      </c>
      <c r="T90" s="23">
        <f t="shared" si="23"/>
        <v>-5.3475935828877219E-3</v>
      </c>
      <c r="U90" s="23">
        <f t="shared" si="24"/>
        <v>-5.6201425910462621E-3</v>
      </c>
      <c r="V90" s="23">
        <f t="shared" si="25"/>
        <v>-8.6985991866244117E-3</v>
      </c>
      <c r="W90" s="23">
        <f t="shared" si="26"/>
        <v>-3.2271241830065245E-2</v>
      </c>
      <c r="X90" s="23">
        <f t="shared" si="27"/>
        <v>-5.9750327719172436E-3</v>
      </c>
      <c r="Y90" s="23">
        <f t="shared" si="28"/>
        <v>-3.1537231503155905E-3</v>
      </c>
    </row>
    <row r="91" spans="1:25" x14ac:dyDescent="0.3">
      <c r="A91" s="2">
        <f t="shared" si="16"/>
        <v>88</v>
      </c>
      <c r="B91" s="3">
        <v>45527</v>
      </c>
      <c r="C91" s="13">
        <f t="shared" si="17"/>
        <v>2024</v>
      </c>
      <c r="D91" s="13">
        <f t="shared" si="18"/>
        <v>8</v>
      </c>
      <c r="E91" s="24">
        <v>19.094000000000001</v>
      </c>
      <c r="F91" s="25">
        <v>52.33</v>
      </c>
      <c r="G91" s="25">
        <v>33.18</v>
      </c>
      <c r="H91" s="25">
        <v>12.51</v>
      </c>
      <c r="I91" s="25">
        <v>250.87</v>
      </c>
      <c r="J91" s="25">
        <v>11.22</v>
      </c>
      <c r="K91" s="25">
        <v>311.38</v>
      </c>
      <c r="L91" s="25">
        <v>177.04</v>
      </c>
      <c r="M91" s="25">
        <v>220.32</v>
      </c>
      <c r="N91" s="25">
        <v>53490.92</v>
      </c>
      <c r="O91" s="25">
        <v>5634.61</v>
      </c>
      <c r="P91" s="23">
        <f t="shared" si="19"/>
        <v>2.1064726158559477E-3</v>
      </c>
      <c r="Q91" s="23">
        <f t="shared" si="20"/>
        <v>-5.0974512743628964E-3</v>
      </c>
      <c r="R91" s="23">
        <f t="shared" si="21"/>
        <v>8.058017727639033E-3</v>
      </c>
      <c r="S91" s="23">
        <f t="shared" si="22"/>
        <v>2.9183657151996556E-3</v>
      </c>
      <c r="T91" s="23">
        <f t="shared" si="23"/>
        <v>4.7619047619047672E-2</v>
      </c>
      <c r="U91" s="23">
        <f t="shared" si="24"/>
        <v>2.630191166776541E-2</v>
      </c>
      <c r="V91" s="23">
        <f t="shared" si="25"/>
        <v>5.1666382785442444E-3</v>
      </c>
      <c r="W91" s="23">
        <f t="shared" si="26"/>
        <v>4.5855881515237895E-2</v>
      </c>
      <c r="X91" s="23">
        <f t="shared" si="27"/>
        <v>3.2770527531968963E-3</v>
      </c>
      <c r="Y91" s="23">
        <f t="shared" si="28"/>
        <v>1.1483420217425433E-2</v>
      </c>
    </row>
    <row r="92" spans="1:25" x14ac:dyDescent="0.3">
      <c r="A92" s="2">
        <f t="shared" si="16"/>
        <v>89</v>
      </c>
      <c r="B92" s="3">
        <v>45526</v>
      </c>
      <c r="C92" s="13">
        <f t="shared" si="17"/>
        <v>2024</v>
      </c>
      <c r="D92" s="13">
        <f t="shared" si="18"/>
        <v>8</v>
      </c>
      <c r="E92" s="24">
        <v>19.515999999999998</v>
      </c>
      <c r="F92" s="25">
        <v>52.22</v>
      </c>
      <c r="G92" s="25">
        <v>33.35</v>
      </c>
      <c r="H92" s="25">
        <v>12.41</v>
      </c>
      <c r="I92" s="25">
        <v>250.14</v>
      </c>
      <c r="J92" s="25">
        <v>10.71</v>
      </c>
      <c r="K92" s="25">
        <v>303.39999999999998</v>
      </c>
      <c r="L92" s="25">
        <v>176.13</v>
      </c>
      <c r="M92" s="25">
        <v>210.66</v>
      </c>
      <c r="N92" s="25">
        <v>53316.2</v>
      </c>
      <c r="O92" s="25">
        <v>5570.64</v>
      </c>
      <c r="P92" s="23">
        <f t="shared" si="19"/>
        <v>-1.0610079575596898E-2</v>
      </c>
      <c r="Q92" s="23">
        <f t="shared" si="20"/>
        <v>6.0006000600076881E-4</v>
      </c>
      <c r="R92" s="23">
        <f t="shared" si="21"/>
        <v>0</v>
      </c>
      <c r="S92" s="23">
        <f t="shared" si="22"/>
        <v>-3.3163265306122569E-2</v>
      </c>
      <c r="T92" s="23">
        <f t="shared" si="23"/>
        <v>0</v>
      </c>
      <c r="U92" s="23">
        <f t="shared" si="24"/>
        <v>1.1549249298794528E-3</v>
      </c>
      <c r="V92" s="23">
        <f t="shared" si="25"/>
        <v>-2.2097607017933618E-2</v>
      </c>
      <c r="W92" s="23">
        <f t="shared" si="26"/>
        <v>-5.6478702915752299E-2</v>
      </c>
      <c r="X92" s="23">
        <f t="shared" si="27"/>
        <v>-1.0183472561730245E-2</v>
      </c>
      <c r="Y92" s="23">
        <f t="shared" si="28"/>
        <v>-8.9328126528905871E-3</v>
      </c>
    </row>
    <row r="93" spans="1:25" x14ac:dyDescent="0.3">
      <c r="A93" s="2">
        <f t="shared" si="16"/>
        <v>90</v>
      </c>
      <c r="B93" s="3">
        <v>45525</v>
      </c>
      <c r="C93" s="13">
        <f t="shared" si="17"/>
        <v>2024</v>
      </c>
      <c r="D93" s="13">
        <f t="shared" si="18"/>
        <v>8</v>
      </c>
      <c r="E93" s="24">
        <v>19.27</v>
      </c>
      <c r="F93" s="25">
        <v>52.78</v>
      </c>
      <c r="G93" s="25">
        <v>33.33</v>
      </c>
      <c r="H93" s="25">
        <v>12.41</v>
      </c>
      <c r="I93" s="25">
        <v>258.72000000000003</v>
      </c>
      <c r="J93" s="25">
        <v>10.71</v>
      </c>
      <c r="K93" s="25">
        <v>303.05</v>
      </c>
      <c r="L93" s="25">
        <v>180.11</v>
      </c>
      <c r="M93" s="25">
        <v>223.27</v>
      </c>
      <c r="N93" s="25">
        <v>53864.73</v>
      </c>
      <c r="O93" s="25">
        <v>5620.85</v>
      </c>
      <c r="P93" s="23">
        <f t="shared" si="19"/>
        <v>5.687203791469031E-4</v>
      </c>
      <c r="Q93" s="23">
        <f t="shared" si="20"/>
        <v>-6.2611806797853164E-3</v>
      </c>
      <c r="R93" s="23">
        <f t="shared" si="21"/>
        <v>-5.608974358974339E-3</v>
      </c>
      <c r="S93" s="23">
        <f t="shared" si="22"/>
        <v>2.7359726799825346E-2</v>
      </c>
      <c r="T93" s="23">
        <f t="shared" si="23"/>
        <v>1.4204545454545414E-2</v>
      </c>
      <c r="U93" s="23">
        <f t="shared" si="24"/>
        <v>-1.4022644456012534E-2</v>
      </c>
      <c r="V93" s="23">
        <f t="shared" si="25"/>
        <v>6.8761180679786094E-3</v>
      </c>
      <c r="W93" s="23">
        <f t="shared" si="26"/>
        <v>9.8145635459068181E-3</v>
      </c>
      <c r="X93" s="23">
        <f t="shared" si="27"/>
        <v>-2.3398318166006904E-3</v>
      </c>
      <c r="Y93" s="23">
        <f t="shared" si="28"/>
        <v>4.2396804070665706E-3</v>
      </c>
    </row>
    <row r="94" spans="1:25" x14ac:dyDescent="0.3">
      <c r="A94" s="2">
        <f t="shared" si="16"/>
        <v>91</v>
      </c>
      <c r="B94" s="3">
        <v>45524</v>
      </c>
      <c r="C94" s="13">
        <f t="shared" si="17"/>
        <v>2024</v>
      </c>
      <c r="D94" s="13">
        <f t="shared" si="18"/>
        <v>8</v>
      </c>
      <c r="E94" s="24">
        <v>18.981999999999999</v>
      </c>
      <c r="F94" s="25">
        <v>52.75</v>
      </c>
      <c r="G94" s="25">
        <v>33.54</v>
      </c>
      <c r="H94" s="25">
        <v>12.48</v>
      </c>
      <c r="I94" s="25">
        <v>251.83</v>
      </c>
      <c r="J94" s="25">
        <v>10.56</v>
      </c>
      <c r="K94" s="25">
        <v>307.36</v>
      </c>
      <c r="L94" s="25">
        <v>178.88</v>
      </c>
      <c r="M94" s="25">
        <v>221.1</v>
      </c>
      <c r="N94" s="25">
        <v>53991.06</v>
      </c>
      <c r="O94" s="25">
        <v>5597.12</v>
      </c>
      <c r="P94" s="23">
        <f t="shared" si="19"/>
        <v>-2.6470032142181799E-3</v>
      </c>
      <c r="Q94" s="23">
        <f t="shared" si="20"/>
        <v>-7.9858030168590277E-3</v>
      </c>
      <c r="R94" s="23">
        <f t="shared" si="21"/>
        <v>6.4516129032257119E-3</v>
      </c>
      <c r="S94" s="23">
        <f t="shared" si="22"/>
        <v>-7.7229205248432464E-3</v>
      </c>
      <c r="T94" s="23">
        <f t="shared" si="23"/>
        <v>9.4786729857809782E-4</v>
      </c>
      <c r="U94" s="23">
        <f t="shared" si="24"/>
        <v>1.7599895704323298E-3</v>
      </c>
      <c r="V94" s="23">
        <f t="shared" si="25"/>
        <v>3.7032880709235716E-3</v>
      </c>
      <c r="W94" s="23">
        <f t="shared" si="26"/>
        <v>-7.2737068965517127E-3</v>
      </c>
      <c r="X94" s="23">
        <f t="shared" si="27"/>
        <v>-2.1000031790225915E-3</v>
      </c>
      <c r="Y94" s="23">
        <f t="shared" si="28"/>
        <v>-1.9845762938528466E-3</v>
      </c>
    </row>
    <row r="95" spans="1:25" x14ac:dyDescent="0.3">
      <c r="A95" s="2">
        <f t="shared" si="16"/>
        <v>92</v>
      </c>
      <c r="B95" s="3">
        <v>45523</v>
      </c>
      <c r="C95" s="13">
        <f t="shared" si="17"/>
        <v>2024</v>
      </c>
      <c r="D95" s="13">
        <f t="shared" si="18"/>
        <v>8</v>
      </c>
      <c r="E95" s="24">
        <v>18.655999999999999</v>
      </c>
      <c r="F95" s="25">
        <v>52.89</v>
      </c>
      <c r="G95" s="25">
        <v>33.81</v>
      </c>
      <c r="H95" s="25">
        <v>12.4</v>
      </c>
      <c r="I95" s="25">
        <v>253.79</v>
      </c>
      <c r="J95" s="25">
        <v>10.55</v>
      </c>
      <c r="K95" s="25">
        <v>306.82</v>
      </c>
      <c r="L95" s="25">
        <v>178.22</v>
      </c>
      <c r="M95" s="25">
        <v>222.72</v>
      </c>
      <c r="N95" s="25">
        <v>54104.68</v>
      </c>
      <c r="O95" s="25">
        <v>5608.25</v>
      </c>
      <c r="P95" s="23">
        <f t="shared" si="19"/>
        <v>-1.890359168241762E-4</v>
      </c>
      <c r="Q95" s="23">
        <f t="shared" si="20"/>
        <v>-4.1237113402061709E-3</v>
      </c>
      <c r="R95" s="23">
        <f t="shared" si="21"/>
        <v>-8.058017727639033E-4</v>
      </c>
      <c r="S95" s="23">
        <f t="shared" si="22"/>
        <v>1.4672956980649188E-2</v>
      </c>
      <c r="T95" s="23">
        <f t="shared" si="23"/>
        <v>3.8058991436726863E-3</v>
      </c>
      <c r="U95" s="23">
        <f t="shared" si="24"/>
        <v>3.3683246672551181E-3</v>
      </c>
      <c r="V95" s="23">
        <f t="shared" si="25"/>
        <v>6.5514514853721728E-3</v>
      </c>
      <c r="W95" s="23">
        <f t="shared" si="26"/>
        <v>3.0538589672404193E-2</v>
      </c>
      <c r="X95" s="23">
        <f t="shared" si="27"/>
        <v>3.8643748643307774E-4</v>
      </c>
      <c r="Y95" s="23">
        <f t="shared" si="28"/>
        <v>9.7222847369131671E-3</v>
      </c>
    </row>
    <row r="96" spans="1:25" x14ac:dyDescent="0.3">
      <c r="A96" s="2">
        <f t="shared" si="16"/>
        <v>93</v>
      </c>
      <c r="B96" s="3">
        <v>45520</v>
      </c>
      <c r="C96" s="13">
        <f t="shared" si="17"/>
        <v>2024</v>
      </c>
      <c r="D96" s="13">
        <f t="shared" si="18"/>
        <v>8</v>
      </c>
      <c r="E96" s="24">
        <v>18.632000000000001</v>
      </c>
      <c r="F96" s="25">
        <v>52.9</v>
      </c>
      <c r="G96" s="25">
        <v>33.950000000000003</v>
      </c>
      <c r="H96" s="25">
        <v>12.41</v>
      </c>
      <c r="I96" s="25">
        <v>250.12</v>
      </c>
      <c r="J96" s="25">
        <v>10.51</v>
      </c>
      <c r="K96" s="25">
        <v>305.79000000000002</v>
      </c>
      <c r="L96" s="25">
        <v>177.06</v>
      </c>
      <c r="M96" s="25">
        <v>216.12</v>
      </c>
      <c r="N96" s="25">
        <v>54083.78</v>
      </c>
      <c r="O96" s="25">
        <v>5554.25</v>
      </c>
      <c r="P96" s="23">
        <f t="shared" si="19"/>
        <v>-3.3911077618689056E-3</v>
      </c>
      <c r="Q96" s="23">
        <f t="shared" si="20"/>
        <v>2.0661157024792765E-3</v>
      </c>
      <c r="R96" s="23">
        <f t="shared" si="21"/>
        <v>-2.6666666666666616E-2</v>
      </c>
      <c r="S96" s="23">
        <f t="shared" si="22"/>
        <v>-2.2930583225907242E-2</v>
      </c>
      <c r="T96" s="23">
        <f t="shared" si="23"/>
        <v>-6.6162570888469441E-3</v>
      </c>
      <c r="U96" s="23">
        <f t="shared" si="24"/>
        <v>2.1445034572602495E-2</v>
      </c>
      <c r="V96" s="23">
        <f t="shared" si="25"/>
        <v>-2.9844022749028198E-3</v>
      </c>
      <c r="W96" s="23">
        <f t="shared" si="26"/>
        <v>9.2462874754835056E-3</v>
      </c>
      <c r="X96" s="23">
        <f t="shared" si="27"/>
        <v>-3.3380681294655767E-3</v>
      </c>
      <c r="Y96" s="23">
        <f t="shared" si="28"/>
        <v>1.9898181923141411E-3</v>
      </c>
    </row>
    <row r="97" spans="1:25" x14ac:dyDescent="0.3">
      <c r="A97" s="2">
        <f t="shared" si="16"/>
        <v>94</v>
      </c>
      <c r="B97" s="3">
        <v>45519</v>
      </c>
      <c r="C97" s="13">
        <f t="shared" si="17"/>
        <v>2024</v>
      </c>
      <c r="D97" s="13">
        <f t="shared" si="18"/>
        <v>8</v>
      </c>
      <c r="E97" s="24">
        <v>18.6372</v>
      </c>
      <c r="F97" s="25">
        <v>53.08</v>
      </c>
      <c r="G97" s="25">
        <v>33.880000000000003</v>
      </c>
      <c r="H97" s="25">
        <v>12.75</v>
      </c>
      <c r="I97" s="25">
        <v>255.99</v>
      </c>
      <c r="J97" s="25">
        <v>10.58</v>
      </c>
      <c r="K97" s="25">
        <v>299.37</v>
      </c>
      <c r="L97" s="25">
        <v>177.59</v>
      </c>
      <c r="M97" s="25">
        <v>214.14</v>
      </c>
      <c r="N97" s="25">
        <v>54264.92</v>
      </c>
      <c r="O97" s="25">
        <v>5543.22</v>
      </c>
      <c r="P97" s="23">
        <f t="shared" si="19"/>
        <v>1.0662604722010638E-2</v>
      </c>
      <c r="Q97" s="23">
        <f t="shared" si="20"/>
        <v>3.5545023696683664E-3</v>
      </c>
      <c r="R97" s="23">
        <f t="shared" si="21"/>
        <v>6.25E-2</v>
      </c>
      <c r="S97" s="23">
        <f t="shared" si="22"/>
        <v>1.5631819083515186E-2</v>
      </c>
      <c r="T97" s="23">
        <f t="shared" si="23"/>
        <v>2.8436018957345155E-3</v>
      </c>
      <c r="U97" s="23">
        <f t="shared" si="24"/>
        <v>3.2170503669446404E-3</v>
      </c>
      <c r="V97" s="23">
        <f t="shared" si="25"/>
        <v>4.4032921810699621E-2</v>
      </c>
      <c r="W97" s="23">
        <f t="shared" si="26"/>
        <v>6.3362796702751023E-2</v>
      </c>
      <c r="X97" s="23">
        <f t="shared" si="27"/>
        <v>1.0163452561898545E-2</v>
      </c>
      <c r="Y97" s="23">
        <f t="shared" si="28"/>
        <v>1.6133201104998829E-2</v>
      </c>
    </row>
    <row r="98" spans="1:25" x14ac:dyDescent="0.3">
      <c r="A98" s="2">
        <f t="shared" si="16"/>
        <v>95</v>
      </c>
      <c r="B98" s="3">
        <v>45518</v>
      </c>
      <c r="C98" s="13">
        <f t="shared" si="17"/>
        <v>2024</v>
      </c>
      <c r="D98" s="13">
        <f t="shared" si="18"/>
        <v>8</v>
      </c>
      <c r="E98" s="24">
        <v>18.78</v>
      </c>
      <c r="F98" s="25">
        <v>52.52</v>
      </c>
      <c r="G98" s="25">
        <v>33.76</v>
      </c>
      <c r="H98" s="25">
        <v>12</v>
      </c>
      <c r="I98" s="25">
        <v>252.05</v>
      </c>
      <c r="J98" s="25">
        <v>10.55</v>
      </c>
      <c r="K98" s="25">
        <v>298.41000000000003</v>
      </c>
      <c r="L98" s="25">
        <v>170.1</v>
      </c>
      <c r="M98" s="25">
        <v>201.38</v>
      </c>
      <c r="N98" s="25">
        <v>53718.95</v>
      </c>
      <c r="O98" s="25">
        <v>5455.21</v>
      </c>
      <c r="P98" s="23">
        <f t="shared" si="19"/>
        <v>-5.7088487155076972E-4</v>
      </c>
      <c r="Q98" s="23">
        <f t="shared" si="20"/>
        <v>1.13840623127619E-2</v>
      </c>
      <c r="R98" s="23">
        <f t="shared" si="21"/>
        <v>-3.3222591362125353E-3</v>
      </c>
      <c r="S98" s="23">
        <f t="shared" si="22"/>
        <v>6.9916100679185966E-3</v>
      </c>
      <c r="T98" s="23">
        <f t="shared" si="23"/>
        <v>-6.5913370998115228E-3</v>
      </c>
      <c r="U98" s="23">
        <f t="shared" si="24"/>
        <v>3.1599825192456521E-3</v>
      </c>
      <c r="V98" s="23">
        <f t="shared" si="25"/>
        <v>-7.6367267814125839E-4</v>
      </c>
      <c r="W98" s="23">
        <f t="shared" si="26"/>
        <v>-3.1034980512919308E-2</v>
      </c>
      <c r="X98" s="23">
        <f t="shared" si="27"/>
        <v>8.3373389822294364E-4</v>
      </c>
      <c r="Y98" s="23">
        <f t="shared" si="28"/>
        <v>3.8237680860733203E-3</v>
      </c>
    </row>
    <row r="99" spans="1:25" x14ac:dyDescent="0.3">
      <c r="A99" s="2">
        <f t="shared" si="16"/>
        <v>96</v>
      </c>
      <c r="B99" s="3">
        <v>45517</v>
      </c>
      <c r="C99" s="13">
        <f t="shared" si="17"/>
        <v>2024</v>
      </c>
      <c r="D99" s="13">
        <f t="shared" si="18"/>
        <v>8</v>
      </c>
      <c r="E99" s="24">
        <v>18.997</v>
      </c>
      <c r="F99" s="25">
        <v>52.55</v>
      </c>
      <c r="G99" s="25">
        <v>33.380000000000003</v>
      </c>
      <c r="H99" s="25">
        <v>12.04</v>
      </c>
      <c r="I99" s="25">
        <v>250.3</v>
      </c>
      <c r="J99" s="25">
        <v>10.62</v>
      </c>
      <c r="K99" s="25">
        <v>297.47000000000003</v>
      </c>
      <c r="L99" s="25">
        <v>170.23</v>
      </c>
      <c r="M99" s="25">
        <v>207.83</v>
      </c>
      <c r="N99" s="25">
        <v>53674.2</v>
      </c>
      <c r="O99" s="25">
        <v>5434.43</v>
      </c>
      <c r="P99" s="23">
        <f t="shared" si="19"/>
        <v>1.1549566891241536E-2</v>
      </c>
      <c r="Q99" s="23">
        <f t="shared" si="20"/>
        <v>9.0689238210399647E-3</v>
      </c>
      <c r="R99" s="23">
        <f t="shared" si="21"/>
        <v>1.1764705882352899E-2</v>
      </c>
      <c r="S99" s="23">
        <f t="shared" si="22"/>
        <v>3.5709852277899801E-2</v>
      </c>
      <c r="T99" s="23">
        <f t="shared" si="23"/>
        <v>4.219823356231589E-2</v>
      </c>
      <c r="U99" s="23">
        <f t="shared" si="24"/>
        <v>3.7565399372166075E-2</v>
      </c>
      <c r="V99" s="23">
        <f t="shared" si="25"/>
        <v>2.0563549160671268E-2</v>
      </c>
      <c r="W99" s="23">
        <f t="shared" si="26"/>
        <v>5.2357081371208647E-2</v>
      </c>
      <c r="X99" s="23">
        <f t="shared" si="27"/>
        <v>1.1950335923499811E-2</v>
      </c>
      <c r="Y99" s="23">
        <f t="shared" si="28"/>
        <v>1.6847572875482442E-2</v>
      </c>
    </row>
    <row r="100" spans="1:25" x14ac:dyDescent="0.3">
      <c r="A100" s="2">
        <f t="shared" si="16"/>
        <v>97</v>
      </c>
      <c r="B100" s="3">
        <v>45516</v>
      </c>
      <c r="C100" s="13">
        <f t="shared" si="17"/>
        <v>2024</v>
      </c>
      <c r="D100" s="13">
        <f t="shared" si="18"/>
        <v>8</v>
      </c>
      <c r="E100" s="24">
        <v>19.059000000000001</v>
      </c>
      <c r="F100" s="25">
        <v>51.95</v>
      </c>
      <c r="G100" s="25">
        <v>33.08</v>
      </c>
      <c r="H100" s="25">
        <v>11.9</v>
      </c>
      <c r="I100" s="25">
        <v>241.67</v>
      </c>
      <c r="J100" s="25">
        <v>10.19</v>
      </c>
      <c r="K100" s="25">
        <v>286.7</v>
      </c>
      <c r="L100" s="25">
        <v>166.8</v>
      </c>
      <c r="M100" s="25">
        <v>197.49</v>
      </c>
      <c r="N100" s="25">
        <v>53040.35</v>
      </c>
      <c r="O100" s="25">
        <v>5344.39</v>
      </c>
      <c r="P100" s="23">
        <f t="shared" si="19"/>
        <v>-1.5375744762636812E-3</v>
      </c>
      <c r="Q100" s="23">
        <f t="shared" si="20"/>
        <v>-7.2028811524610381E-3</v>
      </c>
      <c r="R100" s="23">
        <f t="shared" si="21"/>
        <v>-7.5062552126772264E-3</v>
      </c>
      <c r="S100" s="23">
        <f t="shared" si="22"/>
        <v>-2.6412446865585748E-3</v>
      </c>
      <c r="T100" s="23">
        <f t="shared" si="23"/>
        <v>-2.1133525456292102E-2</v>
      </c>
      <c r="U100" s="23">
        <f t="shared" si="24"/>
        <v>7.2018268048481549E-3</v>
      </c>
      <c r="V100" s="23">
        <f t="shared" si="25"/>
        <v>-8.3862465556483468E-4</v>
      </c>
      <c r="W100" s="23">
        <f t="shared" si="26"/>
        <v>-1.254999999999995E-2</v>
      </c>
      <c r="X100" s="23">
        <f t="shared" si="27"/>
        <v>-2.1092695895352787E-4</v>
      </c>
      <c r="Y100" s="23">
        <f t="shared" si="28"/>
        <v>4.3037633603804082E-5</v>
      </c>
    </row>
    <row r="101" spans="1:25" x14ac:dyDescent="0.3">
      <c r="A101" s="2">
        <f t="shared" si="16"/>
        <v>98</v>
      </c>
      <c r="B101" s="3">
        <v>45513</v>
      </c>
      <c r="C101" s="13">
        <f t="shared" si="17"/>
        <v>2024</v>
      </c>
      <c r="D101" s="13">
        <f t="shared" si="18"/>
        <v>8</v>
      </c>
      <c r="E101" s="24">
        <v>18.824000000000002</v>
      </c>
      <c r="F101" s="25">
        <v>52.03</v>
      </c>
      <c r="G101" s="25">
        <v>33.32</v>
      </c>
      <c r="H101" s="25">
        <v>11.99</v>
      </c>
      <c r="I101" s="25">
        <v>242.31</v>
      </c>
      <c r="J101" s="25">
        <v>10.41</v>
      </c>
      <c r="K101" s="25">
        <v>284.64999999999998</v>
      </c>
      <c r="L101" s="25">
        <v>166.94</v>
      </c>
      <c r="M101" s="25">
        <v>200</v>
      </c>
      <c r="N101" s="25">
        <v>53051.54</v>
      </c>
      <c r="O101" s="25">
        <v>5344.16</v>
      </c>
      <c r="P101" s="23">
        <f t="shared" si="19"/>
        <v>3.6651234567901536E-3</v>
      </c>
      <c r="Q101" s="23">
        <f t="shared" si="20"/>
        <v>-2.9922202274087484E-3</v>
      </c>
      <c r="R101" s="23">
        <f t="shared" si="21"/>
        <v>-3.3250207813798616E-3</v>
      </c>
      <c r="S101" s="23">
        <f t="shared" si="22"/>
        <v>-1.307429130009774E-2</v>
      </c>
      <c r="T101" s="23">
        <f t="shared" si="23"/>
        <v>9.6153846153845812E-4</v>
      </c>
      <c r="U101" s="23">
        <f t="shared" si="24"/>
        <v>-5.9715044000560047E-3</v>
      </c>
      <c r="V101" s="23">
        <f t="shared" si="25"/>
        <v>6.8757539203858631E-3</v>
      </c>
      <c r="W101" s="23">
        <f t="shared" si="26"/>
        <v>5.8338362502514673E-3</v>
      </c>
      <c r="X101" s="23">
        <f t="shared" si="27"/>
        <v>3.3094065327634592E-3</v>
      </c>
      <c r="Y101" s="23">
        <f t="shared" si="28"/>
        <v>4.6716585421793244E-3</v>
      </c>
    </row>
    <row r="102" spans="1:25" x14ac:dyDescent="0.3">
      <c r="A102" s="2">
        <f t="shared" si="16"/>
        <v>99</v>
      </c>
      <c r="B102" s="3">
        <v>45512</v>
      </c>
      <c r="C102" s="13">
        <f t="shared" si="17"/>
        <v>2024</v>
      </c>
      <c r="D102" s="13">
        <f t="shared" si="18"/>
        <v>8</v>
      </c>
      <c r="E102" s="24">
        <v>18.86</v>
      </c>
      <c r="F102" s="25">
        <v>51.84</v>
      </c>
      <c r="G102" s="25">
        <v>33.42</v>
      </c>
      <c r="H102" s="25">
        <v>12.03</v>
      </c>
      <c r="I102" s="25">
        <v>245.52</v>
      </c>
      <c r="J102" s="25">
        <v>10.4</v>
      </c>
      <c r="K102" s="25">
        <v>286.36</v>
      </c>
      <c r="L102" s="25">
        <v>165.8</v>
      </c>
      <c r="M102" s="25">
        <v>198.84</v>
      </c>
      <c r="N102" s="25">
        <v>52876.55</v>
      </c>
      <c r="O102" s="25">
        <v>5319.31</v>
      </c>
      <c r="P102" s="23">
        <f t="shared" si="19"/>
        <v>4.8459003682883584E-3</v>
      </c>
      <c r="Q102" s="23">
        <f t="shared" si="20"/>
        <v>5.7177249473367997E-3</v>
      </c>
      <c r="R102" s="23">
        <f t="shared" si="21"/>
        <v>5.0125313283206907E-3</v>
      </c>
      <c r="S102" s="23">
        <f t="shared" si="22"/>
        <v>-1.8700707374582626E-3</v>
      </c>
      <c r="T102" s="23">
        <f t="shared" si="23"/>
        <v>-1.9193857965450478E-3</v>
      </c>
      <c r="U102" s="23">
        <f t="shared" si="24"/>
        <v>7.6002814919071682E-3</v>
      </c>
      <c r="V102" s="23">
        <f t="shared" si="25"/>
        <v>1.8615223935614766E-2</v>
      </c>
      <c r="W102" s="23">
        <f t="shared" si="26"/>
        <v>3.6921151439299082E-2</v>
      </c>
      <c r="X102" s="23">
        <f t="shared" si="27"/>
        <v>3.7138697326735137E-3</v>
      </c>
      <c r="Y102" s="23">
        <f t="shared" si="28"/>
        <v>2.3042600250024137E-2</v>
      </c>
    </row>
    <row r="103" spans="1:25" x14ac:dyDescent="0.3">
      <c r="A103" s="2">
        <f t="shared" si="16"/>
        <v>100</v>
      </c>
      <c r="B103" s="3">
        <v>45511</v>
      </c>
      <c r="C103" s="13">
        <f t="shared" si="17"/>
        <v>2024</v>
      </c>
      <c r="D103" s="13">
        <f t="shared" si="18"/>
        <v>8</v>
      </c>
      <c r="E103" s="24">
        <v>19.266999999999999</v>
      </c>
      <c r="F103" s="25">
        <v>51.59</v>
      </c>
      <c r="G103" s="25">
        <v>33.229999999999997</v>
      </c>
      <c r="H103" s="25">
        <v>11.97</v>
      </c>
      <c r="I103" s="25">
        <v>245.98</v>
      </c>
      <c r="J103" s="25">
        <v>10.42</v>
      </c>
      <c r="K103" s="25">
        <v>284.2</v>
      </c>
      <c r="L103" s="25">
        <v>162.77000000000001</v>
      </c>
      <c r="M103" s="25">
        <v>191.76</v>
      </c>
      <c r="N103" s="25">
        <v>52680.9</v>
      </c>
      <c r="O103" s="25">
        <v>5199.5</v>
      </c>
      <c r="P103" s="23">
        <f t="shared" si="19"/>
        <v>-1.9346101760494561E-3</v>
      </c>
      <c r="Q103" s="23">
        <f t="shared" si="20"/>
        <v>-3.2993401319737492E-3</v>
      </c>
      <c r="R103" s="23">
        <f t="shared" si="21"/>
        <v>0</v>
      </c>
      <c r="S103" s="23">
        <f t="shared" si="22"/>
        <v>-3.0162047076449983E-2</v>
      </c>
      <c r="T103" s="23">
        <f t="shared" si="23"/>
        <v>-1.883239171374762E-2</v>
      </c>
      <c r="U103" s="23">
        <f t="shared" si="24"/>
        <v>-1.0962241169305886E-2</v>
      </c>
      <c r="V103" s="23">
        <f t="shared" si="25"/>
        <v>5.1874266658433754E-3</v>
      </c>
      <c r="W103" s="23">
        <f t="shared" si="26"/>
        <v>-4.4258373205741552E-2</v>
      </c>
      <c r="X103" s="23">
        <f t="shared" si="27"/>
        <v>5.3677859939087469E-3</v>
      </c>
      <c r="Y103" s="23">
        <f t="shared" si="28"/>
        <v>-7.7346885418594358E-3</v>
      </c>
    </row>
    <row r="104" spans="1:25" x14ac:dyDescent="0.3">
      <c r="A104" s="2">
        <f t="shared" si="16"/>
        <v>101</v>
      </c>
      <c r="B104" s="3">
        <v>45510</v>
      </c>
      <c r="C104" s="13">
        <f t="shared" si="17"/>
        <v>2024</v>
      </c>
      <c r="D104" s="13">
        <f t="shared" si="18"/>
        <v>8</v>
      </c>
      <c r="E104" s="24">
        <v>19.564</v>
      </c>
      <c r="F104" s="25">
        <v>51.69</v>
      </c>
      <c r="G104" s="25">
        <v>33.340000000000003</v>
      </c>
      <c r="H104" s="25">
        <v>11.97</v>
      </c>
      <c r="I104" s="25">
        <v>253.63</v>
      </c>
      <c r="J104" s="25">
        <v>10.62</v>
      </c>
      <c r="K104" s="25">
        <v>287.35000000000002</v>
      </c>
      <c r="L104" s="25">
        <v>161.93</v>
      </c>
      <c r="M104" s="25">
        <v>200.64</v>
      </c>
      <c r="N104" s="25">
        <v>52399.63</v>
      </c>
      <c r="O104" s="25">
        <v>5240.03</v>
      </c>
      <c r="P104" s="23">
        <f t="shared" si="19"/>
        <v>6.4252336448598069E-3</v>
      </c>
      <c r="Q104" s="23">
        <f t="shared" si="20"/>
        <v>5.1251130539644585E-3</v>
      </c>
      <c r="R104" s="23">
        <f t="shared" si="21"/>
        <v>3.0120481927710996E-2</v>
      </c>
      <c r="S104" s="23">
        <f t="shared" si="22"/>
        <v>-1.0571896699695604E-2</v>
      </c>
      <c r="T104" s="23">
        <f t="shared" si="23"/>
        <v>1.3358778625954137E-2</v>
      </c>
      <c r="U104" s="23">
        <f t="shared" si="24"/>
        <v>-7.700808066855358E-3</v>
      </c>
      <c r="V104" s="23">
        <f t="shared" si="25"/>
        <v>5.6514718668487784E-3</v>
      </c>
      <c r="W104" s="23">
        <f t="shared" si="26"/>
        <v>8.8495575221239076E-3</v>
      </c>
      <c r="X104" s="23">
        <f t="shared" si="27"/>
        <v>1.2035387496407424E-2</v>
      </c>
      <c r="Y104" s="23">
        <f t="shared" si="28"/>
        <v>1.0354142524675369E-2</v>
      </c>
    </row>
    <row r="105" spans="1:25" x14ac:dyDescent="0.3">
      <c r="A105" s="2">
        <f t="shared" si="16"/>
        <v>102</v>
      </c>
      <c r="B105" s="3">
        <v>45509</v>
      </c>
      <c r="C105" s="13">
        <f t="shared" si="17"/>
        <v>2024</v>
      </c>
      <c r="D105" s="13">
        <f t="shared" si="18"/>
        <v>8</v>
      </c>
      <c r="E105" s="24">
        <v>19.332000000000001</v>
      </c>
      <c r="F105" s="25">
        <v>51.36</v>
      </c>
      <c r="G105" s="25">
        <v>33.17</v>
      </c>
      <c r="H105" s="25">
        <v>11.62</v>
      </c>
      <c r="I105" s="25">
        <v>256.33999999999997</v>
      </c>
      <c r="J105" s="25">
        <v>10.48</v>
      </c>
      <c r="K105" s="25">
        <v>289.58</v>
      </c>
      <c r="L105" s="25">
        <v>161.02000000000001</v>
      </c>
      <c r="M105" s="25">
        <v>198.88</v>
      </c>
      <c r="N105" s="25">
        <v>51776.480000000003</v>
      </c>
      <c r="O105" s="25">
        <v>5186.33</v>
      </c>
      <c r="P105" s="23">
        <f t="shared" si="19"/>
        <v>-4.6511627906976605E-3</v>
      </c>
      <c r="Q105" s="23">
        <f t="shared" si="20"/>
        <v>-1.6602431070263712E-2</v>
      </c>
      <c r="R105" s="23">
        <f t="shared" si="21"/>
        <v>1.7241379310344307E-3</v>
      </c>
      <c r="S105" s="23">
        <f t="shared" si="22"/>
        <v>-4.8266132026435038E-2</v>
      </c>
      <c r="T105" s="23">
        <f t="shared" si="23"/>
        <v>-1.5962441314553932E-2</v>
      </c>
      <c r="U105" s="23">
        <f t="shared" si="24"/>
        <v>5.381383883623192E-3</v>
      </c>
      <c r="V105" s="23">
        <f t="shared" si="25"/>
        <v>-4.0976771888028507E-2</v>
      </c>
      <c r="W105" s="23">
        <f t="shared" si="26"/>
        <v>-4.2326768430683281E-2</v>
      </c>
      <c r="X105" s="23">
        <f t="shared" si="27"/>
        <v>-8.918046995561757E-3</v>
      </c>
      <c r="Y105" s="23">
        <f t="shared" si="28"/>
        <v>-2.9968802370122227E-2</v>
      </c>
    </row>
    <row r="106" spans="1:25" x14ac:dyDescent="0.3">
      <c r="A106" s="2">
        <f t="shared" si="16"/>
        <v>103</v>
      </c>
      <c r="B106" s="3">
        <v>45506</v>
      </c>
      <c r="C106" s="13">
        <f t="shared" si="17"/>
        <v>2024</v>
      </c>
      <c r="D106" s="13">
        <f t="shared" si="18"/>
        <v>8</v>
      </c>
      <c r="E106" s="24">
        <v>19.161999999999999</v>
      </c>
      <c r="F106" s="25">
        <v>51.6</v>
      </c>
      <c r="G106" s="25">
        <v>33.729999999999997</v>
      </c>
      <c r="H106" s="25">
        <v>11.6</v>
      </c>
      <c r="I106" s="25">
        <v>269.33999999999997</v>
      </c>
      <c r="J106" s="25">
        <v>10.65</v>
      </c>
      <c r="K106" s="25">
        <v>288.02999999999997</v>
      </c>
      <c r="L106" s="25">
        <v>167.9</v>
      </c>
      <c r="M106" s="25">
        <v>207.67</v>
      </c>
      <c r="N106" s="25">
        <v>52242.38</v>
      </c>
      <c r="O106" s="25">
        <v>5346.56</v>
      </c>
      <c r="P106" s="23">
        <f t="shared" si="19"/>
        <v>-1.168358552001536E-2</v>
      </c>
      <c r="Q106" s="23">
        <f t="shared" si="20"/>
        <v>-2.1183981427742471E-2</v>
      </c>
      <c r="R106" s="23">
        <f t="shared" si="21"/>
        <v>-1.4443500424808797E-2</v>
      </c>
      <c r="S106" s="23">
        <f t="shared" si="22"/>
        <v>1.4577918408859469E-2</v>
      </c>
      <c r="T106" s="23">
        <f t="shared" si="23"/>
        <v>-3.3575317604355615E-2</v>
      </c>
      <c r="U106" s="23">
        <f t="shared" si="24"/>
        <v>-1.0444223039131506E-2</v>
      </c>
      <c r="V106" s="23">
        <f t="shared" si="25"/>
        <v>-8.7847014722659766E-2</v>
      </c>
      <c r="W106" s="23">
        <f t="shared" si="26"/>
        <v>-4.2377570782993756E-2</v>
      </c>
      <c r="X106" s="23">
        <f t="shared" si="27"/>
        <v>-3.3404887072023826E-3</v>
      </c>
      <c r="Y106" s="23">
        <f t="shared" si="28"/>
        <v>-1.8381839946536194E-2</v>
      </c>
    </row>
    <row r="107" spans="1:25" x14ac:dyDescent="0.3">
      <c r="A107" s="2">
        <f t="shared" si="16"/>
        <v>104</v>
      </c>
      <c r="B107" s="3">
        <v>45505</v>
      </c>
      <c r="C107" s="13">
        <f t="shared" si="17"/>
        <v>2024</v>
      </c>
      <c r="D107" s="13">
        <f t="shared" si="18"/>
        <v>8</v>
      </c>
      <c r="E107" s="24">
        <v>18.844999999999999</v>
      </c>
      <c r="F107" s="25">
        <v>52.21</v>
      </c>
      <c r="G107" s="25">
        <v>34.46</v>
      </c>
      <c r="H107" s="25">
        <v>11.77</v>
      </c>
      <c r="I107" s="25">
        <v>265.47000000000003</v>
      </c>
      <c r="J107" s="25">
        <v>11.02</v>
      </c>
      <c r="K107" s="25">
        <v>291.07</v>
      </c>
      <c r="L107" s="25">
        <v>184.07</v>
      </c>
      <c r="M107" s="25">
        <v>216.86</v>
      </c>
      <c r="N107" s="25">
        <v>52417.48</v>
      </c>
      <c r="O107" s="25">
        <v>5446.68</v>
      </c>
      <c r="P107" s="23">
        <f t="shared" si="19"/>
        <v>-1.1361484567316782E-2</v>
      </c>
      <c r="Q107" s="23">
        <f t="shared" si="20"/>
        <v>-6.0571098932795664E-3</v>
      </c>
      <c r="R107" s="23">
        <f t="shared" si="21"/>
        <v>-2.2425249169435224E-2</v>
      </c>
      <c r="S107" s="23">
        <f t="shared" si="22"/>
        <v>-2.4652803291939085E-2</v>
      </c>
      <c r="T107" s="23">
        <f t="shared" si="23"/>
        <v>-3.9232781168265118E-2</v>
      </c>
      <c r="U107" s="23">
        <f t="shared" si="24"/>
        <v>-2.7751130601617602E-3</v>
      </c>
      <c r="V107" s="23">
        <f t="shared" si="25"/>
        <v>-1.5563161835490447E-2</v>
      </c>
      <c r="W107" s="23">
        <f t="shared" si="26"/>
        <v>-6.5540569655707204E-2</v>
      </c>
      <c r="X107" s="23">
        <f t="shared" si="27"/>
        <v>-1.2741371571950544E-2</v>
      </c>
      <c r="Y107" s="23">
        <f t="shared" si="28"/>
        <v>-1.3693569708273734E-2</v>
      </c>
    </row>
    <row r="108" spans="1:25" x14ac:dyDescent="0.3">
      <c r="A108" s="2">
        <f t="shared" si="16"/>
        <v>105</v>
      </c>
      <c r="B108" s="3">
        <v>45504</v>
      </c>
      <c r="C108" s="13">
        <f t="shared" si="17"/>
        <v>2024</v>
      </c>
      <c r="D108" s="13">
        <f t="shared" si="18"/>
        <v>7</v>
      </c>
      <c r="E108" s="24">
        <v>18.600000000000001</v>
      </c>
      <c r="F108" s="25">
        <v>52.81</v>
      </c>
      <c r="G108" s="25">
        <v>34.67</v>
      </c>
      <c r="H108" s="25">
        <v>12.04</v>
      </c>
      <c r="I108" s="25">
        <v>272.18</v>
      </c>
      <c r="J108" s="25">
        <v>11.47</v>
      </c>
      <c r="K108" s="25">
        <v>291.88</v>
      </c>
      <c r="L108" s="25">
        <v>186.98</v>
      </c>
      <c r="M108" s="25">
        <v>232.07</v>
      </c>
      <c r="N108" s="25">
        <v>53093.97</v>
      </c>
      <c r="O108" s="25">
        <v>5522.3</v>
      </c>
      <c r="P108" s="23">
        <f t="shared" si="19"/>
        <v>1.6358737490377306E-2</v>
      </c>
      <c r="Q108" s="23">
        <f t="shared" si="20"/>
        <v>-6.8748209682037986E-3</v>
      </c>
      <c r="R108" s="23">
        <f t="shared" si="21"/>
        <v>2.120441051738764E-2</v>
      </c>
      <c r="S108" s="23">
        <f t="shared" si="22"/>
        <v>7.05632473253619E-2</v>
      </c>
      <c r="T108" s="23">
        <f t="shared" si="23"/>
        <v>-6.0658578856150891E-3</v>
      </c>
      <c r="U108" s="23">
        <f t="shared" si="24"/>
        <v>2.4787585141492929E-2</v>
      </c>
      <c r="V108" s="23">
        <f t="shared" si="25"/>
        <v>2.9002256342523625E-2</v>
      </c>
      <c r="W108" s="23">
        <f t="shared" si="26"/>
        <v>4.2449016260893035E-2</v>
      </c>
      <c r="X108" s="23">
        <f t="shared" si="27"/>
        <v>1.4687889748424388E-2</v>
      </c>
      <c r="Y108" s="23">
        <f t="shared" si="28"/>
        <v>1.579342363752767E-2</v>
      </c>
    </row>
    <row r="109" spans="1:25" x14ac:dyDescent="0.3">
      <c r="A109" s="2">
        <f t="shared" si="16"/>
        <v>106</v>
      </c>
      <c r="B109" s="3">
        <v>45503</v>
      </c>
      <c r="C109" s="13">
        <f t="shared" si="17"/>
        <v>2024</v>
      </c>
      <c r="D109" s="13">
        <f t="shared" si="18"/>
        <v>7</v>
      </c>
      <c r="E109" s="24">
        <v>18.751000000000001</v>
      </c>
      <c r="F109" s="25">
        <v>51.96</v>
      </c>
      <c r="G109" s="25">
        <v>34.909999999999997</v>
      </c>
      <c r="H109" s="25">
        <v>11.79</v>
      </c>
      <c r="I109" s="25">
        <v>254.24</v>
      </c>
      <c r="J109" s="25">
        <v>11.54</v>
      </c>
      <c r="K109" s="25">
        <v>284.82</v>
      </c>
      <c r="L109" s="25">
        <v>181.71</v>
      </c>
      <c r="M109" s="25">
        <v>222.62</v>
      </c>
      <c r="N109" s="25">
        <v>52325.42</v>
      </c>
      <c r="O109" s="25">
        <v>5436.44</v>
      </c>
      <c r="P109" s="23">
        <f t="shared" si="19"/>
        <v>-1.4415781487101653E-2</v>
      </c>
      <c r="Q109" s="23">
        <f t="shared" si="20"/>
        <v>1.3646922183507604E-2</v>
      </c>
      <c r="R109" s="23">
        <f t="shared" si="21"/>
        <v>-1.0906040268456429E-2</v>
      </c>
      <c r="S109" s="23">
        <f t="shared" si="22"/>
        <v>6.0543706224525096E-3</v>
      </c>
      <c r="T109" s="23">
        <f t="shared" si="23"/>
        <v>-1.7035775127768438E-2</v>
      </c>
      <c r="U109" s="23">
        <f t="shared" si="24"/>
        <v>8.0696538543214569E-3</v>
      </c>
      <c r="V109" s="23">
        <f t="shared" si="25"/>
        <v>-8.1331877729257096E-3</v>
      </c>
      <c r="W109" s="23">
        <f t="shared" si="26"/>
        <v>-4.0844463593278757E-2</v>
      </c>
      <c r="X109" s="23">
        <f t="shared" si="27"/>
        <v>-3.6248152460079952E-3</v>
      </c>
      <c r="Y109" s="23">
        <f t="shared" si="28"/>
        <v>-4.9601540393225951E-3</v>
      </c>
    </row>
    <row r="110" spans="1:25" x14ac:dyDescent="0.3">
      <c r="A110" s="2">
        <f t="shared" si="16"/>
        <v>107</v>
      </c>
      <c r="B110" s="3">
        <v>45502</v>
      </c>
      <c r="C110" s="13">
        <f t="shared" si="17"/>
        <v>2024</v>
      </c>
      <c r="D110" s="13">
        <f t="shared" si="18"/>
        <v>7</v>
      </c>
      <c r="E110" s="24">
        <v>18.627099999999999</v>
      </c>
      <c r="F110" s="25">
        <v>52.72</v>
      </c>
      <c r="G110" s="25">
        <v>34.44</v>
      </c>
      <c r="H110" s="25">
        <v>11.92</v>
      </c>
      <c r="I110" s="25">
        <v>252.71</v>
      </c>
      <c r="J110" s="25">
        <v>11.74</v>
      </c>
      <c r="K110" s="25">
        <v>282.54000000000002</v>
      </c>
      <c r="L110" s="25">
        <v>183.2</v>
      </c>
      <c r="M110" s="25">
        <v>232.1</v>
      </c>
      <c r="N110" s="25">
        <v>52515.78</v>
      </c>
      <c r="O110" s="25">
        <v>5463.54</v>
      </c>
      <c r="P110" s="23">
        <f t="shared" si="19"/>
        <v>-7.5301204819276935E-3</v>
      </c>
      <c r="Q110" s="23">
        <f t="shared" si="20"/>
        <v>-1.2614678899082743E-2</v>
      </c>
      <c r="R110" s="23">
        <f t="shared" si="21"/>
        <v>3.3670033670032407E-3</v>
      </c>
      <c r="S110" s="23">
        <f t="shared" si="22"/>
        <v>1.9526364626618831E-2</v>
      </c>
      <c r="T110" s="23">
        <f t="shared" si="23"/>
        <v>-8.4459459459459429E-3</v>
      </c>
      <c r="U110" s="23">
        <f t="shared" si="24"/>
        <v>-2.3400504648992348E-2</v>
      </c>
      <c r="V110" s="23">
        <f t="shared" si="25"/>
        <v>3.8356164383561708E-3</v>
      </c>
      <c r="W110" s="23">
        <f t="shared" si="26"/>
        <v>5.5959963603275709E-2</v>
      </c>
      <c r="X110" s="23">
        <f t="shared" si="27"/>
        <v>-5.7516549734019096E-3</v>
      </c>
      <c r="Y110" s="23">
        <f t="shared" si="28"/>
        <v>8.1332087706753597E-4</v>
      </c>
    </row>
    <row r="111" spans="1:25" x14ac:dyDescent="0.3">
      <c r="A111" s="2">
        <f t="shared" si="16"/>
        <v>108</v>
      </c>
      <c r="B111" s="3">
        <v>45499</v>
      </c>
      <c r="C111" s="13">
        <f t="shared" si="17"/>
        <v>2024</v>
      </c>
      <c r="D111" s="13">
        <f t="shared" si="18"/>
        <v>7</v>
      </c>
      <c r="E111" s="24">
        <v>18.45</v>
      </c>
      <c r="F111" s="25">
        <v>53.12</v>
      </c>
      <c r="G111" s="25">
        <v>34.880000000000003</v>
      </c>
      <c r="H111" s="25">
        <v>11.88</v>
      </c>
      <c r="I111" s="25">
        <v>247.87</v>
      </c>
      <c r="J111" s="25">
        <v>11.84</v>
      </c>
      <c r="K111" s="25">
        <v>289.31</v>
      </c>
      <c r="L111" s="25">
        <v>182.5</v>
      </c>
      <c r="M111" s="25">
        <v>219.8</v>
      </c>
      <c r="N111" s="25">
        <v>52819.58</v>
      </c>
      <c r="O111" s="25">
        <v>5459.1</v>
      </c>
      <c r="P111" s="23">
        <f t="shared" si="19"/>
        <v>3.7664783427482362E-4</v>
      </c>
      <c r="Q111" s="23">
        <f t="shared" si="20"/>
        <v>1.7502917152858899E-2</v>
      </c>
      <c r="R111" s="23">
        <f t="shared" si="21"/>
        <v>1.5384615384615552E-2</v>
      </c>
      <c r="S111" s="23">
        <f t="shared" si="22"/>
        <v>1.4322543683758182E-2</v>
      </c>
      <c r="T111" s="23">
        <f t="shared" si="23"/>
        <v>1.3698630136986356E-2</v>
      </c>
      <c r="U111" s="23">
        <f t="shared" si="24"/>
        <v>5.1419240523919996E-3</v>
      </c>
      <c r="V111" s="23">
        <f t="shared" si="25"/>
        <v>1.4734500973033082E-2</v>
      </c>
      <c r="W111" s="23">
        <f t="shared" si="26"/>
        <v>-2.0431328036322194E-3</v>
      </c>
      <c r="X111" s="23">
        <f t="shared" si="27"/>
        <v>-2.1214062529814059E-3</v>
      </c>
      <c r="Y111" s="23">
        <f t="shared" si="28"/>
        <v>1.1090490848678192E-2</v>
      </c>
    </row>
    <row r="112" spans="1:25" x14ac:dyDescent="0.3">
      <c r="A112" s="2">
        <f t="shared" si="16"/>
        <v>109</v>
      </c>
      <c r="B112" s="3">
        <v>45498</v>
      </c>
      <c r="C112" s="13">
        <f t="shared" si="17"/>
        <v>2024</v>
      </c>
      <c r="D112" s="13">
        <f t="shared" si="18"/>
        <v>7</v>
      </c>
      <c r="E112" s="24">
        <v>18.447500000000002</v>
      </c>
      <c r="F112" s="25">
        <v>53.1</v>
      </c>
      <c r="G112" s="25">
        <v>34.28</v>
      </c>
      <c r="H112" s="25">
        <v>11.7</v>
      </c>
      <c r="I112" s="25">
        <v>244.37</v>
      </c>
      <c r="J112" s="25">
        <v>11.68</v>
      </c>
      <c r="K112" s="25">
        <v>287.83</v>
      </c>
      <c r="L112" s="25">
        <v>179.85</v>
      </c>
      <c r="M112" s="25">
        <v>220.25</v>
      </c>
      <c r="N112" s="25">
        <v>52931.87</v>
      </c>
      <c r="O112" s="25">
        <v>5399.22</v>
      </c>
      <c r="P112" s="23">
        <f t="shared" si="19"/>
        <v>-4.4994375703037992E-3</v>
      </c>
      <c r="Q112" s="23">
        <f t="shared" si="20"/>
        <v>-2.2247575584711909E-2</v>
      </c>
      <c r="R112" s="23">
        <f t="shared" si="21"/>
        <v>2.8119507908611396E-2</v>
      </c>
      <c r="S112" s="23">
        <f t="shared" si="22"/>
        <v>-2.1188816790835507E-2</v>
      </c>
      <c r="T112" s="23">
        <f t="shared" si="23"/>
        <v>5.2252252252252163E-2</v>
      </c>
      <c r="U112" s="23">
        <f t="shared" si="24"/>
        <v>-2.1485636579976153E-2</v>
      </c>
      <c r="V112" s="23">
        <f t="shared" si="25"/>
        <v>-5.4194547364929679E-3</v>
      </c>
      <c r="W112" s="23">
        <f t="shared" si="26"/>
        <v>1.9723135330339314E-2</v>
      </c>
      <c r="X112" s="23">
        <f t="shared" si="27"/>
        <v>-4.4488823344538408E-3</v>
      </c>
      <c r="Y112" s="23">
        <f t="shared" si="28"/>
        <v>-5.1426813066942634E-3</v>
      </c>
    </row>
    <row r="113" spans="1:25" x14ac:dyDescent="0.3">
      <c r="A113" s="2">
        <f t="shared" si="16"/>
        <v>110</v>
      </c>
      <c r="B113" s="3">
        <v>45497</v>
      </c>
      <c r="C113" s="13">
        <f t="shared" si="17"/>
        <v>2024</v>
      </c>
      <c r="D113" s="13">
        <f t="shared" si="18"/>
        <v>7</v>
      </c>
      <c r="E113" s="24">
        <v>18.353999999999999</v>
      </c>
      <c r="F113" s="25">
        <v>53.34</v>
      </c>
      <c r="G113" s="25">
        <v>35.06</v>
      </c>
      <c r="H113" s="25">
        <v>11.38</v>
      </c>
      <c r="I113" s="25">
        <v>249.66</v>
      </c>
      <c r="J113" s="25">
        <v>11.1</v>
      </c>
      <c r="K113" s="25">
        <v>294.14999999999998</v>
      </c>
      <c r="L113" s="25">
        <v>180.83</v>
      </c>
      <c r="M113" s="25">
        <v>215.99</v>
      </c>
      <c r="N113" s="25">
        <v>53168.41</v>
      </c>
      <c r="O113" s="25">
        <v>5427.13</v>
      </c>
      <c r="P113" s="23">
        <f t="shared" si="19"/>
        <v>-1.0022271714921982E-2</v>
      </c>
      <c r="Q113" s="23">
        <f t="shared" si="20"/>
        <v>-8.7644896805201267E-3</v>
      </c>
      <c r="R113" s="23">
        <f t="shared" si="21"/>
        <v>-3.4775233248515502E-2</v>
      </c>
      <c r="S113" s="23">
        <f t="shared" si="22"/>
        <v>1.1957358842365373E-2</v>
      </c>
      <c r="T113" s="23">
        <f t="shared" si="23"/>
        <v>-4.3927648578811374E-2</v>
      </c>
      <c r="U113" s="23">
        <f t="shared" si="24"/>
        <v>1.2007156127433971E-2</v>
      </c>
      <c r="V113" s="23">
        <f t="shared" si="25"/>
        <v>-2.9934016415428255E-2</v>
      </c>
      <c r="W113" s="23">
        <f t="shared" si="26"/>
        <v>-0.12334605081581296</v>
      </c>
      <c r="X113" s="23">
        <f t="shared" si="27"/>
        <v>-1.0041941813228261E-2</v>
      </c>
      <c r="Y113" s="23">
        <f t="shared" si="28"/>
        <v>-2.3149031452155744E-2</v>
      </c>
    </row>
    <row r="114" spans="1:25" x14ac:dyDescent="0.3">
      <c r="A114" s="2">
        <f t="shared" si="16"/>
        <v>111</v>
      </c>
      <c r="B114" s="3">
        <v>45496</v>
      </c>
      <c r="C114" s="13">
        <f t="shared" si="17"/>
        <v>2024</v>
      </c>
      <c r="D114" s="13">
        <f t="shared" si="18"/>
        <v>7</v>
      </c>
      <c r="E114" s="24">
        <v>18.139700000000001</v>
      </c>
      <c r="F114" s="25">
        <v>53.88</v>
      </c>
      <c r="G114" s="25">
        <v>35.369999999999997</v>
      </c>
      <c r="H114" s="25">
        <v>11.79</v>
      </c>
      <c r="I114" s="25">
        <v>246.71</v>
      </c>
      <c r="J114" s="25">
        <v>11.61</v>
      </c>
      <c r="K114" s="25">
        <v>290.66000000000003</v>
      </c>
      <c r="L114" s="25">
        <v>186.41</v>
      </c>
      <c r="M114" s="25">
        <v>246.38</v>
      </c>
      <c r="N114" s="25">
        <v>53707.74</v>
      </c>
      <c r="O114" s="25">
        <v>5555.74</v>
      </c>
      <c r="P114" s="23">
        <f t="shared" si="19"/>
        <v>-5.1698670605612174E-3</v>
      </c>
      <c r="Q114" s="23">
        <f t="shared" si="20"/>
        <v>-6.4606741573034476E-3</v>
      </c>
      <c r="R114" s="23">
        <f t="shared" si="21"/>
        <v>2.0779220779220564E-2</v>
      </c>
      <c r="S114" s="23">
        <f t="shared" si="22"/>
        <v>-3.5309298506295494E-2</v>
      </c>
      <c r="T114" s="23">
        <f t="shared" si="23"/>
        <v>2.2007042253521236E-2</v>
      </c>
      <c r="U114" s="23">
        <f t="shared" si="24"/>
        <v>1.4980619478297319E-2</v>
      </c>
      <c r="V114" s="23">
        <f t="shared" si="25"/>
        <v>2.1144891810462862E-2</v>
      </c>
      <c r="W114" s="23">
        <f t="shared" si="26"/>
        <v>-2.0396803308019518E-2</v>
      </c>
      <c r="X114" s="23">
        <f t="shared" si="27"/>
        <v>-5.5396604731393628E-3</v>
      </c>
      <c r="Y114" s="23">
        <f t="shared" si="28"/>
        <v>-1.558116673645582E-3</v>
      </c>
    </row>
    <row r="115" spans="1:25" x14ac:dyDescent="0.3">
      <c r="A115" s="2">
        <f t="shared" si="16"/>
        <v>112</v>
      </c>
      <c r="B115" s="3">
        <v>45495</v>
      </c>
      <c r="C115" s="13">
        <f t="shared" si="17"/>
        <v>2024</v>
      </c>
      <c r="D115" s="13">
        <f t="shared" si="18"/>
        <v>7</v>
      </c>
      <c r="E115" s="24">
        <v>17.925000000000001</v>
      </c>
      <c r="F115" s="25">
        <v>54.16</v>
      </c>
      <c r="G115" s="25">
        <v>35.6</v>
      </c>
      <c r="H115" s="25">
        <v>11.55</v>
      </c>
      <c r="I115" s="25">
        <v>255.74</v>
      </c>
      <c r="J115" s="25">
        <v>11.36</v>
      </c>
      <c r="K115" s="25">
        <v>286.37</v>
      </c>
      <c r="L115" s="25">
        <v>182.55</v>
      </c>
      <c r="M115" s="25">
        <v>251.51</v>
      </c>
      <c r="N115" s="25">
        <v>54006.92</v>
      </c>
      <c r="O115" s="25">
        <v>5564.41</v>
      </c>
      <c r="P115" s="23">
        <f t="shared" si="19"/>
        <v>6.13041055173702E-3</v>
      </c>
      <c r="Q115" s="23">
        <f t="shared" si="20"/>
        <v>3.9481105470953182E-3</v>
      </c>
      <c r="R115" s="23">
        <f t="shared" si="21"/>
        <v>3.0330062444246186E-2</v>
      </c>
      <c r="S115" s="23">
        <f t="shared" si="22"/>
        <v>-1.0562154215189468E-2</v>
      </c>
      <c r="T115" s="23">
        <f t="shared" si="23"/>
        <v>1.3380909901873128E-2</v>
      </c>
      <c r="U115" s="23">
        <f t="shared" si="24"/>
        <v>1.7372459855051758E-2</v>
      </c>
      <c r="V115" s="23">
        <f t="shared" si="25"/>
        <v>-3.1671490198218466E-3</v>
      </c>
      <c r="W115" s="23">
        <f t="shared" si="26"/>
        <v>5.1463210702341167E-2</v>
      </c>
      <c r="X115" s="23">
        <f t="shared" si="27"/>
        <v>6.1179033997211807E-3</v>
      </c>
      <c r="Y115" s="23">
        <f t="shared" si="28"/>
        <v>1.0792007266121617E-2</v>
      </c>
    </row>
    <row r="116" spans="1:25" x14ac:dyDescent="0.3">
      <c r="A116" s="2">
        <f t="shared" si="16"/>
        <v>113</v>
      </c>
      <c r="B116" s="3">
        <v>45492</v>
      </c>
      <c r="C116" s="13">
        <f t="shared" si="17"/>
        <v>2024</v>
      </c>
      <c r="D116" s="13">
        <f t="shared" si="18"/>
        <v>7</v>
      </c>
      <c r="E116" s="24">
        <v>18.035</v>
      </c>
      <c r="F116" s="25">
        <v>53.83</v>
      </c>
      <c r="G116" s="25">
        <v>35.46</v>
      </c>
      <c r="H116" s="25">
        <v>11.21</v>
      </c>
      <c r="I116" s="25">
        <v>258.47000000000003</v>
      </c>
      <c r="J116" s="25">
        <v>11.21</v>
      </c>
      <c r="K116" s="25">
        <v>281.48</v>
      </c>
      <c r="L116" s="25">
        <v>183.13</v>
      </c>
      <c r="M116" s="25">
        <v>239.2</v>
      </c>
      <c r="N116" s="25">
        <v>53678.52</v>
      </c>
      <c r="O116" s="25">
        <v>5505</v>
      </c>
      <c r="P116" s="23">
        <f t="shared" si="19"/>
        <v>1.1651945123097196E-2</v>
      </c>
      <c r="Q116" s="23">
        <f t="shared" si="20"/>
        <v>1.6337059329320835E-2</v>
      </c>
      <c r="R116" s="23">
        <f t="shared" si="21"/>
        <v>-1.4072119613016576E-2</v>
      </c>
      <c r="S116" s="23">
        <f t="shared" si="22"/>
        <v>3.2599576525109031E-2</v>
      </c>
      <c r="T116" s="23">
        <f t="shared" si="23"/>
        <v>-2.1815008726003504E-2</v>
      </c>
      <c r="U116" s="23">
        <f t="shared" si="24"/>
        <v>8.491275841066237E-3</v>
      </c>
      <c r="V116" s="23">
        <f t="shared" si="25"/>
        <v>-3.3741496598639342E-3</v>
      </c>
      <c r="W116" s="23">
        <f t="shared" si="26"/>
        <v>-4.0243951370220299E-2</v>
      </c>
      <c r="X116" s="23">
        <f t="shared" si="27"/>
        <v>1.1981222781516809E-2</v>
      </c>
      <c r="Y116" s="23">
        <f t="shared" si="28"/>
        <v>-7.1402935113327182E-3</v>
      </c>
    </row>
    <row r="117" spans="1:25" x14ac:dyDescent="0.3">
      <c r="A117" s="2">
        <f t="shared" si="16"/>
        <v>114</v>
      </c>
      <c r="B117" s="3">
        <v>45491</v>
      </c>
      <c r="C117" s="13">
        <f t="shared" si="17"/>
        <v>2024</v>
      </c>
      <c r="D117" s="13">
        <f t="shared" si="18"/>
        <v>7</v>
      </c>
      <c r="E117" s="24">
        <v>17.948</v>
      </c>
      <c r="F117" s="25">
        <v>53.21</v>
      </c>
      <c r="G117" s="25">
        <v>34.89</v>
      </c>
      <c r="H117" s="25">
        <v>11.37</v>
      </c>
      <c r="I117" s="25">
        <v>250.31</v>
      </c>
      <c r="J117" s="25">
        <v>11.46</v>
      </c>
      <c r="K117" s="25">
        <v>279.11</v>
      </c>
      <c r="L117" s="25">
        <v>183.75</v>
      </c>
      <c r="M117" s="25">
        <v>249.23</v>
      </c>
      <c r="N117" s="25">
        <v>53043</v>
      </c>
      <c r="O117" s="25">
        <v>5544.59</v>
      </c>
      <c r="P117" s="23">
        <f t="shared" si="19"/>
        <v>-1.2251717096714243E-2</v>
      </c>
      <c r="Q117" s="23">
        <f t="shared" si="20"/>
        <v>-2.2962755530663737E-2</v>
      </c>
      <c r="R117" s="23">
        <f t="shared" si="21"/>
        <v>-1.302083333333337E-2</v>
      </c>
      <c r="S117" s="23">
        <f t="shared" si="22"/>
        <v>-4.6510742038701758E-2</v>
      </c>
      <c r="T117" s="23">
        <f t="shared" si="23"/>
        <v>-2.2184300341296925E-2</v>
      </c>
      <c r="U117" s="23">
        <f t="shared" si="24"/>
        <v>-4.7070570195770767E-3</v>
      </c>
      <c r="V117" s="23">
        <f t="shared" si="25"/>
        <v>-2.2242324269674874E-2</v>
      </c>
      <c r="W117" s="23">
        <f t="shared" si="26"/>
        <v>2.9376257545270512E-3</v>
      </c>
      <c r="X117" s="23">
        <f t="shared" si="27"/>
        <v>-1.3057640202453147E-2</v>
      </c>
      <c r="Y117" s="23">
        <f t="shared" si="28"/>
        <v>-7.8163725088444824E-3</v>
      </c>
    </row>
    <row r="118" spans="1:25" x14ac:dyDescent="0.3">
      <c r="A118" s="2">
        <f t="shared" si="16"/>
        <v>115</v>
      </c>
      <c r="B118" s="3">
        <v>45490</v>
      </c>
      <c r="C118" s="13">
        <f t="shared" si="17"/>
        <v>2024</v>
      </c>
      <c r="D118" s="13">
        <f t="shared" si="18"/>
        <v>7</v>
      </c>
      <c r="E118" s="24">
        <v>17.692</v>
      </c>
      <c r="F118" s="25">
        <v>53.87</v>
      </c>
      <c r="G118" s="25">
        <v>35.71</v>
      </c>
      <c r="H118" s="25">
        <v>11.52</v>
      </c>
      <c r="I118" s="25">
        <v>262.52</v>
      </c>
      <c r="J118" s="25">
        <v>11.72</v>
      </c>
      <c r="K118" s="25">
        <v>280.43</v>
      </c>
      <c r="L118" s="25">
        <v>187.93</v>
      </c>
      <c r="M118" s="25">
        <v>248.5</v>
      </c>
      <c r="N118" s="25">
        <v>53744.78</v>
      </c>
      <c r="O118" s="25">
        <v>5588.27</v>
      </c>
      <c r="P118" s="23">
        <f t="shared" si="19"/>
        <v>-1.1378234538447551E-2</v>
      </c>
      <c r="Q118" s="23">
        <f t="shared" si="20"/>
        <v>-1.8686452322066449E-2</v>
      </c>
      <c r="R118" s="23">
        <f t="shared" si="21"/>
        <v>-4.7933884297520657E-2</v>
      </c>
      <c r="S118" s="23">
        <f t="shared" si="22"/>
        <v>-1.3231093068711619E-2</v>
      </c>
      <c r="T118" s="23">
        <f t="shared" si="23"/>
        <v>-2.006688963210701E-2</v>
      </c>
      <c r="U118" s="23">
        <f t="shared" si="24"/>
        <v>-1.2744235169864448E-2</v>
      </c>
      <c r="V118" s="23">
        <f t="shared" si="25"/>
        <v>-2.6370324318723437E-2</v>
      </c>
      <c r="W118" s="23">
        <f t="shared" si="26"/>
        <v>-3.1415653258497045E-2</v>
      </c>
      <c r="X118" s="23">
        <f t="shared" si="27"/>
        <v>-1.1462992937021799E-2</v>
      </c>
      <c r="Y118" s="23">
        <f t="shared" si="28"/>
        <v>-1.3927512704686507E-2</v>
      </c>
    </row>
    <row r="119" spans="1:25" x14ac:dyDescent="0.3">
      <c r="A119" s="2">
        <f t="shared" si="16"/>
        <v>116</v>
      </c>
      <c r="B119" s="3">
        <v>45489</v>
      </c>
      <c r="C119" s="13">
        <f t="shared" si="17"/>
        <v>2024</v>
      </c>
      <c r="D119" s="13">
        <f t="shared" si="18"/>
        <v>7</v>
      </c>
      <c r="E119" s="24">
        <v>17.661999999999999</v>
      </c>
      <c r="F119" s="25">
        <v>54.49</v>
      </c>
      <c r="G119" s="25">
        <v>36.39</v>
      </c>
      <c r="H119" s="25">
        <v>12.1</v>
      </c>
      <c r="I119" s="25">
        <v>266.04000000000002</v>
      </c>
      <c r="J119" s="25">
        <v>11.96</v>
      </c>
      <c r="K119" s="25">
        <v>284.05</v>
      </c>
      <c r="L119" s="25">
        <v>193.02</v>
      </c>
      <c r="M119" s="25">
        <v>256.56</v>
      </c>
      <c r="N119" s="25">
        <v>54368</v>
      </c>
      <c r="O119" s="25">
        <v>5667.2</v>
      </c>
      <c r="P119" s="23">
        <f t="shared" si="19"/>
        <v>9.1844232182225483E-4</v>
      </c>
      <c r="Q119" s="23">
        <f t="shared" si="20"/>
        <v>1.1004126547455861E-3</v>
      </c>
      <c r="R119" s="23">
        <f t="shared" si="21"/>
        <v>1.4249790444258226E-2</v>
      </c>
      <c r="S119" s="23">
        <f t="shared" si="22"/>
        <v>1.3678795961135526E-2</v>
      </c>
      <c r="T119" s="23">
        <f t="shared" si="23"/>
        <v>1.7006802721088565E-2</v>
      </c>
      <c r="U119" s="23">
        <f t="shared" si="24"/>
        <v>1.0278844785887031E-2</v>
      </c>
      <c r="V119" s="23">
        <f t="shared" si="25"/>
        <v>1.5566625155667424E-3</v>
      </c>
      <c r="W119" s="23">
        <f t="shared" si="26"/>
        <v>1.551614946168467E-2</v>
      </c>
      <c r="X119" s="23">
        <f t="shared" si="27"/>
        <v>1.0312639989806804E-3</v>
      </c>
      <c r="Y119" s="23">
        <f t="shared" si="28"/>
        <v>6.3893792108991043E-3</v>
      </c>
    </row>
    <row r="120" spans="1:25" x14ac:dyDescent="0.3">
      <c r="A120" s="2">
        <f t="shared" si="16"/>
        <v>117</v>
      </c>
      <c r="B120" s="3">
        <v>45488</v>
      </c>
      <c r="C120" s="13">
        <f t="shared" si="17"/>
        <v>2024</v>
      </c>
      <c r="D120" s="13">
        <f t="shared" si="18"/>
        <v>7</v>
      </c>
      <c r="E120" s="24">
        <v>17.725000000000001</v>
      </c>
      <c r="F120" s="25">
        <v>54.44</v>
      </c>
      <c r="G120" s="25">
        <v>36.35</v>
      </c>
      <c r="H120" s="25">
        <v>11.93</v>
      </c>
      <c r="I120" s="25">
        <v>262.45</v>
      </c>
      <c r="J120" s="25">
        <v>11.76</v>
      </c>
      <c r="K120" s="25">
        <v>281.16000000000003</v>
      </c>
      <c r="L120" s="25">
        <v>192.72</v>
      </c>
      <c r="M120" s="25">
        <v>252.64</v>
      </c>
      <c r="N120" s="25">
        <v>54311.99</v>
      </c>
      <c r="O120" s="25">
        <v>5631.22</v>
      </c>
      <c r="P120" s="23">
        <f t="shared" si="19"/>
        <v>-1.1080835603996309E-2</v>
      </c>
      <c r="Q120" s="23">
        <f t="shared" si="20"/>
        <v>-1.2764801738185727E-2</v>
      </c>
      <c r="R120" s="23">
        <f t="shared" si="21"/>
        <v>-1.8914473684210509E-2</v>
      </c>
      <c r="S120" s="23">
        <f t="shared" si="22"/>
        <v>-4.2493455249079659E-3</v>
      </c>
      <c r="T120" s="23">
        <f t="shared" si="23"/>
        <v>1.1177987962166736E-2</v>
      </c>
      <c r="U120" s="23">
        <f t="shared" si="24"/>
        <v>-6.6772655007948378E-3</v>
      </c>
      <c r="V120" s="23">
        <f t="shared" si="25"/>
        <v>-9.1007249730064022E-3</v>
      </c>
      <c r="W120" s="23">
        <f t="shared" si="26"/>
        <v>1.7765781734681463E-2</v>
      </c>
      <c r="X120" s="23">
        <f t="shared" si="27"/>
        <v>-1.1666673642310776E-2</v>
      </c>
      <c r="Y120" s="23">
        <f t="shared" si="28"/>
        <v>2.826181805230199E-3</v>
      </c>
    </row>
    <row r="121" spans="1:25" x14ac:dyDescent="0.3">
      <c r="A121" s="2">
        <f t="shared" si="16"/>
        <v>118</v>
      </c>
      <c r="B121" s="3">
        <v>45485</v>
      </c>
      <c r="C121" s="13">
        <f t="shared" si="17"/>
        <v>2024</v>
      </c>
      <c r="D121" s="13">
        <f t="shared" si="18"/>
        <v>7</v>
      </c>
      <c r="E121" s="24">
        <v>17.606000000000002</v>
      </c>
      <c r="F121" s="25">
        <v>55.05</v>
      </c>
      <c r="G121" s="25">
        <v>36.82</v>
      </c>
      <c r="H121" s="25">
        <v>12.16</v>
      </c>
      <c r="I121" s="25">
        <v>263.57</v>
      </c>
      <c r="J121" s="25">
        <v>11.63</v>
      </c>
      <c r="K121" s="25">
        <v>283.05</v>
      </c>
      <c r="L121" s="25">
        <v>194.49</v>
      </c>
      <c r="M121" s="25">
        <v>248.23</v>
      </c>
      <c r="N121" s="25">
        <v>54953.11</v>
      </c>
      <c r="O121" s="25">
        <v>5615.35</v>
      </c>
      <c r="P121" s="23">
        <f t="shared" si="19"/>
        <v>1.1390777144956843E-2</v>
      </c>
      <c r="Q121" s="23">
        <f t="shared" si="20"/>
        <v>1.6322089227420733E-3</v>
      </c>
      <c r="R121" s="23">
        <f t="shared" si="21"/>
        <v>-1.6420361247947435E-3</v>
      </c>
      <c r="S121" s="23">
        <f t="shared" si="22"/>
        <v>8.4943562272812301E-3</v>
      </c>
      <c r="T121" s="23">
        <f t="shared" si="23"/>
        <v>2.017543859649118E-2</v>
      </c>
      <c r="U121" s="23">
        <f t="shared" si="24"/>
        <v>2.6771139405811217E-2</v>
      </c>
      <c r="V121" s="23">
        <f t="shared" si="25"/>
        <v>-2.8710587028967227E-3</v>
      </c>
      <c r="W121" s="23">
        <f t="shared" si="26"/>
        <v>2.9871800190847564E-2</v>
      </c>
      <c r="X121" s="23">
        <f t="shared" si="27"/>
        <v>9.748157888112452E-3</v>
      </c>
      <c r="Y121" s="23">
        <f t="shared" si="28"/>
        <v>5.5170166208855509E-3</v>
      </c>
    </row>
    <row r="122" spans="1:25" x14ac:dyDescent="0.3">
      <c r="A122" s="2">
        <f t="shared" si="16"/>
        <v>119</v>
      </c>
      <c r="B122" s="3">
        <v>45484</v>
      </c>
      <c r="C122" s="13">
        <f t="shared" si="17"/>
        <v>2024</v>
      </c>
      <c r="D122" s="13">
        <f t="shared" si="18"/>
        <v>7</v>
      </c>
      <c r="E122" s="24">
        <v>17.765999999999998</v>
      </c>
      <c r="F122" s="25">
        <v>54.43</v>
      </c>
      <c r="G122" s="25">
        <v>36.76</v>
      </c>
      <c r="H122" s="25">
        <v>12.18</v>
      </c>
      <c r="I122" s="25">
        <v>261.35000000000002</v>
      </c>
      <c r="J122" s="25">
        <v>11.4</v>
      </c>
      <c r="K122" s="25">
        <v>275.67</v>
      </c>
      <c r="L122" s="25">
        <v>195.05</v>
      </c>
      <c r="M122" s="25">
        <v>241.03</v>
      </c>
      <c r="N122" s="25">
        <v>54422.59</v>
      </c>
      <c r="O122" s="25">
        <v>5584.54</v>
      </c>
      <c r="P122" s="23">
        <f t="shared" si="19"/>
        <v>2.5787437833855176E-3</v>
      </c>
      <c r="Q122" s="23">
        <f t="shared" si="20"/>
        <v>3.5490035490033378E-3</v>
      </c>
      <c r="R122" s="23">
        <f t="shared" si="21"/>
        <v>2.1812080536912637E-2</v>
      </c>
      <c r="S122" s="23">
        <f t="shared" si="22"/>
        <v>1.2160644436699064E-2</v>
      </c>
      <c r="T122" s="23">
        <f t="shared" si="23"/>
        <v>9.7431355181578638E-3</v>
      </c>
      <c r="U122" s="23">
        <f t="shared" si="24"/>
        <v>-8.5952672085161108E-3</v>
      </c>
      <c r="V122" s="23">
        <f t="shared" si="25"/>
        <v>-2.372491115671449E-2</v>
      </c>
      <c r="W122" s="23">
        <f t="shared" si="26"/>
        <v>-8.44412368001215E-2</v>
      </c>
      <c r="X122" s="23">
        <f t="shared" si="27"/>
        <v>2.6291509855953521E-3</v>
      </c>
      <c r="Y122" s="23">
        <f t="shared" si="28"/>
        <v>-8.763008283767415E-3</v>
      </c>
    </row>
    <row r="123" spans="1:25" x14ac:dyDescent="0.3">
      <c r="A123" s="2">
        <f t="shared" si="16"/>
        <v>120</v>
      </c>
      <c r="B123" s="3">
        <v>45483</v>
      </c>
      <c r="C123" s="13">
        <f t="shared" si="17"/>
        <v>2024</v>
      </c>
      <c r="D123" s="13">
        <f t="shared" si="18"/>
        <v>7</v>
      </c>
      <c r="E123" s="24">
        <v>17.8156</v>
      </c>
      <c r="F123" s="25">
        <v>54.29</v>
      </c>
      <c r="G123" s="25">
        <v>36.630000000000003</v>
      </c>
      <c r="H123" s="25">
        <v>11.92</v>
      </c>
      <c r="I123" s="25">
        <v>258.20999999999998</v>
      </c>
      <c r="J123" s="25">
        <v>11.29</v>
      </c>
      <c r="K123" s="25">
        <v>278.06</v>
      </c>
      <c r="L123" s="25">
        <v>199.79</v>
      </c>
      <c r="M123" s="25">
        <v>263.26</v>
      </c>
      <c r="N123" s="25">
        <v>54279.88</v>
      </c>
      <c r="O123" s="25">
        <v>5633.91</v>
      </c>
      <c r="P123" s="23">
        <f t="shared" si="19"/>
        <v>1.6857089342573461E-2</v>
      </c>
      <c r="Q123" s="23">
        <f t="shared" si="20"/>
        <v>-9.1966459291316083E-3</v>
      </c>
      <c r="R123" s="23">
        <f t="shared" si="21"/>
        <v>6.5236818588024992E-2</v>
      </c>
      <c r="S123" s="23">
        <f t="shared" si="22"/>
        <v>4.0078949488439486E-2</v>
      </c>
      <c r="T123" s="23">
        <f t="shared" si="23"/>
        <v>7.1364852809989721E-3</v>
      </c>
      <c r="U123" s="23">
        <f t="shared" si="24"/>
        <v>1.1899996360857257E-2</v>
      </c>
      <c r="V123" s="23">
        <f t="shared" si="25"/>
        <v>2.2574495836258368E-3</v>
      </c>
      <c r="W123" s="23">
        <f t="shared" si="26"/>
        <v>3.5451530515000496E-3</v>
      </c>
      <c r="X123" s="23">
        <f t="shared" si="27"/>
        <v>1.7776820250428482E-2</v>
      </c>
      <c r="Y123" s="23">
        <f t="shared" si="28"/>
        <v>1.0208033738690059E-2</v>
      </c>
    </row>
    <row r="124" spans="1:25" x14ac:dyDescent="0.3">
      <c r="A124" s="2">
        <f t="shared" si="16"/>
        <v>121</v>
      </c>
      <c r="B124" s="3">
        <v>45482</v>
      </c>
      <c r="C124" s="13">
        <f t="shared" si="17"/>
        <v>2024</v>
      </c>
      <c r="D124" s="13">
        <f t="shared" si="18"/>
        <v>7</v>
      </c>
      <c r="E124" s="24">
        <v>17.917999999999999</v>
      </c>
      <c r="F124" s="25">
        <v>53.39</v>
      </c>
      <c r="G124" s="25">
        <v>36.97</v>
      </c>
      <c r="H124" s="25">
        <v>11.19</v>
      </c>
      <c r="I124" s="25">
        <v>248.26</v>
      </c>
      <c r="J124" s="25">
        <v>11.21</v>
      </c>
      <c r="K124" s="25">
        <v>274.79000000000002</v>
      </c>
      <c r="L124" s="25">
        <v>199.34</v>
      </c>
      <c r="M124" s="25">
        <v>262.33</v>
      </c>
      <c r="N124" s="25">
        <v>53331.81</v>
      </c>
      <c r="O124" s="25">
        <v>5576.98</v>
      </c>
      <c r="P124" s="23">
        <f t="shared" si="19"/>
        <v>8.1193353474320329E-3</v>
      </c>
      <c r="Q124" s="23">
        <f t="shared" si="20"/>
        <v>-6.4498790647675719E-3</v>
      </c>
      <c r="R124" s="23">
        <f t="shared" si="21"/>
        <v>-1.148409893992941E-2</v>
      </c>
      <c r="S124" s="23">
        <f t="shared" si="22"/>
        <v>-1.0876927367624245E-2</v>
      </c>
      <c r="T124" s="23">
        <f t="shared" si="23"/>
        <v>-4.4404973357015098E-3</v>
      </c>
      <c r="U124" s="23">
        <f t="shared" si="24"/>
        <v>2.6983593078446777E-2</v>
      </c>
      <c r="V124" s="23">
        <f t="shared" si="25"/>
        <v>2.5089066184968978E-4</v>
      </c>
      <c r="W124" s="23">
        <f t="shared" si="26"/>
        <v>3.7123428481062648E-2</v>
      </c>
      <c r="X124" s="23">
        <f t="shared" si="27"/>
        <v>8.0162259966367611E-3</v>
      </c>
      <c r="Y124" s="23">
        <f t="shared" si="28"/>
        <v>7.410929775606423E-4</v>
      </c>
    </row>
    <row r="125" spans="1:25" x14ac:dyDescent="0.3">
      <c r="A125" s="2">
        <f t="shared" si="16"/>
        <v>122</v>
      </c>
      <c r="B125" s="3">
        <v>45481</v>
      </c>
      <c r="C125" s="13">
        <f t="shared" si="17"/>
        <v>2024</v>
      </c>
      <c r="D125" s="13">
        <f t="shared" si="18"/>
        <v>7</v>
      </c>
      <c r="E125" s="24">
        <v>17.995999999999999</v>
      </c>
      <c r="F125" s="25">
        <v>52.96</v>
      </c>
      <c r="G125" s="25">
        <v>37.21</v>
      </c>
      <c r="H125" s="25">
        <v>11.32</v>
      </c>
      <c r="I125" s="25">
        <v>250.99</v>
      </c>
      <c r="J125" s="25">
        <v>11.26</v>
      </c>
      <c r="K125" s="25">
        <v>267.57</v>
      </c>
      <c r="L125" s="25">
        <v>199.29</v>
      </c>
      <c r="M125" s="25">
        <v>252.94</v>
      </c>
      <c r="N125" s="25">
        <v>52907.69</v>
      </c>
      <c r="O125" s="25">
        <v>5572.85</v>
      </c>
      <c r="P125" s="23">
        <f t="shared" si="19"/>
        <v>1.1652340019102203E-2</v>
      </c>
      <c r="Q125" s="23">
        <f t="shared" si="20"/>
        <v>3.0462475768485264E-2</v>
      </c>
      <c r="R125" s="23">
        <f t="shared" si="21"/>
        <v>1.8901890189018999E-2</v>
      </c>
      <c r="S125" s="23">
        <f t="shared" si="22"/>
        <v>9.6138374899437107E-3</v>
      </c>
      <c r="T125" s="23">
        <f t="shared" si="23"/>
        <v>5.3571428571428381E-3</v>
      </c>
      <c r="U125" s="23">
        <f t="shared" si="24"/>
        <v>7.1517295893401833E-3</v>
      </c>
      <c r="V125" s="23">
        <f t="shared" si="25"/>
        <v>-3.5500000000000531E-3</v>
      </c>
      <c r="W125" s="23">
        <f t="shared" si="26"/>
        <v>5.6456743002544219E-3</v>
      </c>
      <c r="X125" s="23">
        <f t="shared" si="27"/>
        <v>1.0978316616080397E-2</v>
      </c>
      <c r="Y125" s="23">
        <f t="shared" si="28"/>
        <v>1.0166708878267539E-3</v>
      </c>
    </row>
    <row r="126" spans="1:25" x14ac:dyDescent="0.3">
      <c r="A126" s="2">
        <f t="shared" si="16"/>
        <v>123</v>
      </c>
      <c r="B126" s="3">
        <v>45478</v>
      </c>
      <c r="C126" s="13">
        <f t="shared" si="17"/>
        <v>2024</v>
      </c>
      <c r="D126" s="13">
        <f t="shared" si="18"/>
        <v>7</v>
      </c>
      <c r="E126" s="24">
        <v>18.092500000000001</v>
      </c>
      <c r="F126" s="25">
        <v>52.35</v>
      </c>
      <c r="G126" s="25">
        <v>36.11</v>
      </c>
      <c r="H126" s="25">
        <v>11.11</v>
      </c>
      <c r="I126" s="25">
        <v>248.6</v>
      </c>
      <c r="J126" s="25">
        <v>11.2</v>
      </c>
      <c r="K126" s="25">
        <v>265.67</v>
      </c>
      <c r="L126" s="25">
        <v>200</v>
      </c>
      <c r="M126" s="25">
        <v>251.52</v>
      </c>
      <c r="N126" s="25">
        <v>52333.16</v>
      </c>
      <c r="O126" s="25">
        <v>5567.19</v>
      </c>
      <c r="P126" s="23">
        <f t="shared" si="19"/>
        <v>-9.4607379375590828E-3</v>
      </c>
      <c r="Q126" s="23">
        <f t="shared" si="20"/>
        <v>-1.2848551120831053E-2</v>
      </c>
      <c r="R126" s="23">
        <f t="shared" si="21"/>
        <v>-1.7969451931717506E-3</v>
      </c>
      <c r="S126" s="23">
        <f t="shared" si="22"/>
        <v>8.519269776876337E-3</v>
      </c>
      <c r="T126" s="23">
        <f t="shared" si="23"/>
        <v>-3.4482758620689724E-2</v>
      </c>
      <c r="U126" s="23">
        <f t="shared" si="24"/>
        <v>-2.1293055811383188E-2</v>
      </c>
      <c r="V126" s="23">
        <f t="shared" si="25"/>
        <v>1.2196973531049204E-2</v>
      </c>
      <c r="W126" s="23">
        <f t="shared" si="26"/>
        <v>2.0820650188725365E-2</v>
      </c>
      <c r="X126" s="23">
        <f t="shared" si="27"/>
        <v>-6.1094087249321527E-3</v>
      </c>
      <c r="Y126" s="23">
        <f t="shared" si="28"/>
        <v>5.4487793072806046E-3</v>
      </c>
    </row>
    <row r="127" spans="1:25" x14ac:dyDescent="0.3">
      <c r="A127" s="2">
        <f t="shared" si="16"/>
        <v>124</v>
      </c>
      <c r="B127" s="3">
        <v>45477</v>
      </c>
      <c r="C127" s="13">
        <f t="shared" si="17"/>
        <v>2024</v>
      </c>
      <c r="D127" s="13">
        <f t="shared" si="18"/>
        <v>7</v>
      </c>
      <c r="E127" s="24">
        <v>18.077000000000002</v>
      </c>
      <c r="F127" s="25">
        <v>52.85</v>
      </c>
      <c r="G127" s="25">
        <v>36.58</v>
      </c>
      <c r="H127" s="25">
        <v>11.13</v>
      </c>
      <c r="I127" s="25">
        <v>246.5</v>
      </c>
      <c r="J127" s="25">
        <v>11.6</v>
      </c>
      <c r="K127" s="25">
        <v>271.45</v>
      </c>
      <c r="L127" s="25">
        <v>197.59</v>
      </c>
      <c r="M127" s="25">
        <v>246.39</v>
      </c>
      <c r="N127" s="25">
        <v>52654.85</v>
      </c>
      <c r="O127" s="25">
        <v>5537.02</v>
      </c>
      <c r="P127" s="23">
        <f t="shared" si="19"/>
        <v>0</v>
      </c>
      <c r="Q127" s="23">
        <f t="shared" si="20"/>
        <v>-2.7262813522356266E-3</v>
      </c>
      <c r="R127" s="23">
        <f t="shared" si="21"/>
        <v>-8.9766606822261341E-4</v>
      </c>
      <c r="S127" s="23">
        <f t="shared" si="22"/>
        <v>1.1240564489662042E-2</v>
      </c>
      <c r="T127" s="23">
        <f t="shared" si="23"/>
        <v>-8.6132644272174375E-4</v>
      </c>
      <c r="U127" s="23">
        <f t="shared" si="24"/>
        <v>-3.3045713236645735E-3</v>
      </c>
      <c r="V127" s="23">
        <f t="shared" si="25"/>
        <v>0</v>
      </c>
      <c r="W127" s="23">
        <f t="shared" si="26"/>
        <v>0</v>
      </c>
      <c r="X127" s="23">
        <f t="shared" si="27"/>
        <v>-2.6784094176368622E-3</v>
      </c>
      <c r="Y127" s="23">
        <f t="shared" si="28"/>
        <v>0</v>
      </c>
    </row>
    <row r="128" spans="1:25" x14ac:dyDescent="0.3">
      <c r="A128" s="2">
        <f t="shared" si="16"/>
        <v>125</v>
      </c>
      <c r="B128" s="3">
        <v>45476</v>
      </c>
      <c r="C128" s="13">
        <f t="shared" si="17"/>
        <v>2024</v>
      </c>
      <c r="D128" s="13">
        <f t="shared" si="18"/>
        <v>7</v>
      </c>
      <c r="E128" s="24">
        <v>18.159199999999998</v>
      </c>
      <c r="F128" s="25">
        <v>52.85</v>
      </c>
      <c r="G128" s="25">
        <v>36.68</v>
      </c>
      <c r="H128" s="25">
        <v>11.14</v>
      </c>
      <c r="I128" s="25">
        <v>243.76</v>
      </c>
      <c r="J128" s="25">
        <v>11.61</v>
      </c>
      <c r="K128" s="25">
        <v>272.35000000000002</v>
      </c>
      <c r="L128" s="25">
        <v>197.59</v>
      </c>
      <c r="M128" s="25">
        <v>246.39</v>
      </c>
      <c r="N128" s="25">
        <v>52796.26</v>
      </c>
      <c r="O128" s="25">
        <v>5537.02</v>
      </c>
      <c r="P128" s="23">
        <f t="shared" si="19"/>
        <v>1.6932845872618785E-2</v>
      </c>
      <c r="Q128" s="23">
        <f t="shared" si="20"/>
        <v>2.3152022315202192E-2</v>
      </c>
      <c r="R128" s="23">
        <f t="shared" si="21"/>
        <v>-4.4682752457549935E-3</v>
      </c>
      <c r="S128" s="23">
        <f t="shared" si="22"/>
        <v>4.0198002901766561E-2</v>
      </c>
      <c r="T128" s="23">
        <f t="shared" si="23"/>
        <v>1.752848378615246E-2</v>
      </c>
      <c r="U128" s="23">
        <f t="shared" si="24"/>
        <v>1.7636288906325959E-2</v>
      </c>
      <c r="V128" s="23">
        <f t="shared" si="25"/>
        <v>-1.2050000000000005E-2</v>
      </c>
      <c r="W128" s="23">
        <f t="shared" si="26"/>
        <v>6.5424197872524514E-2</v>
      </c>
      <c r="X128" s="23">
        <f t="shared" si="27"/>
        <v>1.6331173412433175E-2</v>
      </c>
      <c r="Y128" s="23">
        <f t="shared" si="28"/>
        <v>5.0843981041965858E-3</v>
      </c>
    </row>
    <row r="129" spans="1:25" x14ac:dyDescent="0.3">
      <c r="A129" s="2">
        <f t="shared" si="16"/>
        <v>126</v>
      </c>
      <c r="B129" s="3">
        <v>45475</v>
      </c>
      <c r="C129" s="13">
        <f t="shared" si="17"/>
        <v>2024</v>
      </c>
      <c r="D129" s="13">
        <f t="shared" si="18"/>
        <v>7</v>
      </c>
      <c r="E129" s="24">
        <v>18.248000000000001</v>
      </c>
      <c r="F129" s="25">
        <v>51.97</v>
      </c>
      <c r="G129" s="25">
        <v>35.85</v>
      </c>
      <c r="H129" s="25">
        <v>11.19</v>
      </c>
      <c r="I129" s="25">
        <v>234.34</v>
      </c>
      <c r="J129" s="25">
        <v>11.41</v>
      </c>
      <c r="K129" s="25">
        <v>267.63</v>
      </c>
      <c r="L129" s="25">
        <v>200</v>
      </c>
      <c r="M129" s="25">
        <v>231.26</v>
      </c>
      <c r="N129" s="25">
        <v>51947.89</v>
      </c>
      <c r="O129" s="25">
        <v>5509.01</v>
      </c>
      <c r="P129" s="23">
        <f t="shared" si="19"/>
        <v>-1.7208774583963748E-2</v>
      </c>
      <c r="Q129" s="23">
        <f t="shared" si="20"/>
        <v>-1.2396694214875881E-2</v>
      </c>
      <c r="R129" s="23">
        <f t="shared" si="21"/>
        <v>-3.3678756476683946E-2</v>
      </c>
      <c r="S129" s="23">
        <f t="shared" si="22"/>
        <v>-1.7483543666932166E-2</v>
      </c>
      <c r="T129" s="23">
        <f t="shared" si="23"/>
        <v>-9.5486111111110494E-3</v>
      </c>
      <c r="U129" s="23">
        <f t="shared" si="24"/>
        <v>-2.2962908878504718E-2</v>
      </c>
      <c r="V129" s="23">
        <f t="shared" si="25"/>
        <v>1.4198782961460488E-2</v>
      </c>
      <c r="W129" s="23">
        <f t="shared" si="26"/>
        <v>0.10197274373391774</v>
      </c>
      <c r="X129" s="23">
        <f t="shared" si="27"/>
        <v>-1.770063783032938E-2</v>
      </c>
      <c r="Y129" s="23">
        <f t="shared" si="28"/>
        <v>6.195331948881222E-3</v>
      </c>
    </row>
    <row r="130" spans="1:25" x14ac:dyDescent="0.3">
      <c r="A130" s="2">
        <f t="shared" si="16"/>
        <v>127</v>
      </c>
      <c r="B130" s="3">
        <v>45474</v>
      </c>
      <c r="C130" s="13">
        <f t="shared" si="17"/>
        <v>2024</v>
      </c>
      <c r="D130" s="13">
        <f t="shared" si="18"/>
        <v>7</v>
      </c>
      <c r="E130" s="24">
        <v>18.337</v>
      </c>
      <c r="F130" s="25">
        <v>52.88</v>
      </c>
      <c r="G130" s="25">
        <v>36.299999999999997</v>
      </c>
      <c r="H130" s="25">
        <v>11.58</v>
      </c>
      <c r="I130" s="25">
        <v>238.51</v>
      </c>
      <c r="J130" s="25">
        <v>11.52</v>
      </c>
      <c r="K130" s="25">
        <v>273.92</v>
      </c>
      <c r="L130" s="25">
        <v>197.2</v>
      </c>
      <c r="M130" s="25">
        <v>209.86</v>
      </c>
      <c r="N130" s="25">
        <v>52883.97</v>
      </c>
      <c r="O130" s="25">
        <v>5475.09</v>
      </c>
      <c r="P130" s="23">
        <f t="shared" si="19"/>
        <v>8.7752766119801873E-3</v>
      </c>
      <c r="Q130" s="23">
        <f t="shared" si="20"/>
        <v>1.794727986539546E-2</v>
      </c>
      <c r="R130" s="23">
        <f t="shared" si="21"/>
        <v>-1.1101622544833489E-2</v>
      </c>
      <c r="S130" s="23">
        <f t="shared" si="22"/>
        <v>3.196635120925384E-3</v>
      </c>
      <c r="T130" s="23">
        <f t="shared" si="23"/>
        <v>-5.1813471502590858E-3</v>
      </c>
      <c r="U130" s="23">
        <f t="shared" si="24"/>
        <v>-1.6765070340403199E-3</v>
      </c>
      <c r="V130" s="23">
        <f t="shared" si="25"/>
        <v>2.0439844760672621E-2</v>
      </c>
      <c r="W130" s="23">
        <f t="shared" si="26"/>
        <v>6.0541742470183957E-2</v>
      </c>
      <c r="X130" s="23">
        <f t="shared" si="27"/>
        <v>8.4658625225544348E-3</v>
      </c>
      <c r="Y130" s="23">
        <f t="shared" si="28"/>
        <v>2.6755889592124937E-3</v>
      </c>
    </row>
    <row r="131" spans="1:25" x14ac:dyDescent="0.3">
      <c r="A131" s="2">
        <f t="shared" si="16"/>
        <v>128</v>
      </c>
      <c r="B131" s="3">
        <v>45471</v>
      </c>
      <c r="C131" s="13">
        <f t="shared" si="17"/>
        <v>2024</v>
      </c>
      <c r="D131" s="13">
        <f t="shared" si="18"/>
        <v>6</v>
      </c>
      <c r="E131" s="24">
        <v>18.329999999999998</v>
      </c>
      <c r="F131" s="25">
        <v>52.42</v>
      </c>
      <c r="G131" s="25">
        <v>35.659999999999997</v>
      </c>
      <c r="H131" s="25">
        <v>11.71</v>
      </c>
      <c r="I131" s="25">
        <v>237.75</v>
      </c>
      <c r="J131" s="25">
        <v>11.58</v>
      </c>
      <c r="K131" s="25">
        <v>274.38</v>
      </c>
      <c r="L131" s="25">
        <v>193.25</v>
      </c>
      <c r="M131" s="25">
        <v>197.88</v>
      </c>
      <c r="N131" s="25">
        <v>52440.02</v>
      </c>
      <c r="O131" s="25">
        <v>5460.48</v>
      </c>
      <c r="P131" s="23">
        <f t="shared" si="19"/>
        <v>1.5284677111195855E-3</v>
      </c>
      <c r="Q131" s="23">
        <f t="shared" si="20"/>
        <v>-3.2030401737242364E-2</v>
      </c>
      <c r="R131" s="23">
        <f t="shared" si="21"/>
        <v>-1.7050298380221207E-3</v>
      </c>
      <c r="S131" s="23">
        <f t="shared" si="22"/>
        <v>-2.1405187610172849E-3</v>
      </c>
      <c r="T131" s="23">
        <f t="shared" si="23"/>
        <v>-9.4097519247219319E-3</v>
      </c>
      <c r="U131" s="23">
        <f t="shared" si="24"/>
        <v>3.6579120637940665E-3</v>
      </c>
      <c r="V131" s="23">
        <f t="shared" si="25"/>
        <v>-2.324993682082388E-2</v>
      </c>
      <c r="W131" s="23">
        <f t="shared" si="26"/>
        <v>2.3300577449094639E-3</v>
      </c>
      <c r="X131" s="23">
        <f t="shared" si="27"/>
        <v>2.4671694038878034E-3</v>
      </c>
      <c r="Y131" s="23">
        <f t="shared" si="28"/>
        <v>-4.0836277351096184E-3</v>
      </c>
    </row>
    <row r="132" spans="1:25" x14ac:dyDescent="0.3">
      <c r="A132" s="2">
        <f t="shared" ref="A132:A195" si="29">+A133-1</f>
        <v>129</v>
      </c>
      <c r="B132" s="3">
        <v>45470</v>
      </c>
      <c r="C132" s="13">
        <f t="shared" ref="C132:C195" si="30">+YEAR(B132)</f>
        <v>2024</v>
      </c>
      <c r="D132" s="13">
        <f t="shared" ref="D132:D195" si="31">+MONTH(B132)</f>
        <v>6</v>
      </c>
      <c r="E132" s="24">
        <v>18.419</v>
      </c>
      <c r="F132" s="25">
        <v>52.34</v>
      </c>
      <c r="G132" s="25">
        <v>36.840000000000003</v>
      </c>
      <c r="H132" s="25">
        <v>11.73</v>
      </c>
      <c r="I132" s="25">
        <v>238.26</v>
      </c>
      <c r="J132" s="25">
        <v>11.69</v>
      </c>
      <c r="K132" s="25">
        <v>273.38</v>
      </c>
      <c r="L132" s="25">
        <v>197.85</v>
      </c>
      <c r="M132" s="25">
        <v>197.42</v>
      </c>
      <c r="N132" s="25">
        <v>52310.96</v>
      </c>
      <c r="O132" s="25">
        <v>5482.87</v>
      </c>
      <c r="P132" s="23">
        <f t="shared" si="19"/>
        <v>1.3392003061030167E-3</v>
      </c>
      <c r="Q132" s="23">
        <f t="shared" si="20"/>
        <v>-1.8385291766586653E-2</v>
      </c>
      <c r="R132" s="23">
        <f t="shared" si="21"/>
        <v>9.4664371772805733E-3</v>
      </c>
      <c r="S132" s="23">
        <f t="shared" si="22"/>
        <v>-4.5540004177981874E-3</v>
      </c>
      <c r="T132" s="23">
        <f t="shared" si="23"/>
        <v>-1.1834319526627279E-2</v>
      </c>
      <c r="U132" s="23">
        <f t="shared" si="24"/>
        <v>1.5188087192246291E-2</v>
      </c>
      <c r="V132" s="23">
        <f t="shared" si="25"/>
        <v>2.1899695263674301E-2</v>
      </c>
      <c r="W132" s="23">
        <f t="shared" si="26"/>
        <v>5.3470489382287933E-3</v>
      </c>
      <c r="X132" s="23">
        <f t="shared" si="27"/>
        <v>-2.9932524599275423E-3</v>
      </c>
      <c r="Y132" s="23">
        <f t="shared" si="28"/>
        <v>9.0728198762302092E-4</v>
      </c>
    </row>
    <row r="133" spans="1:25" x14ac:dyDescent="0.3">
      <c r="A133" s="2">
        <f t="shared" si="29"/>
        <v>130</v>
      </c>
      <c r="B133" s="3">
        <v>45469</v>
      </c>
      <c r="C133" s="13">
        <f t="shared" si="30"/>
        <v>2024</v>
      </c>
      <c r="D133" s="13">
        <f t="shared" si="31"/>
        <v>6</v>
      </c>
      <c r="E133" s="24">
        <v>18.324999999999999</v>
      </c>
      <c r="F133" s="25">
        <v>52.27</v>
      </c>
      <c r="G133" s="25">
        <v>37.53</v>
      </c>
      <c r="H133" s="25">
        <v>11.62</v>
      </c>
      <c r="I133" s="25">
        <v>239.35</v>
      </c>
      <c r="J133" s="25">
        <v>11.83</v>
      </c>
      <c r="K133" s="25">
        <v>269.29000000000002</v>
      </c>
      <c r="L133" s="25">
        <v>193.61</v>
      </c>
      <c r="M133" s="25">
        <v>196.37</v>
      </c>
      <c r="N133" s="25">
        <v>52468.01</v>
      </c>
      <c r="O133" s="25">
        <v>5477.9</v>
      </c>
      <c r="P133" s="23">
        <f t="shared" ref="P133:P196" si="32">F133/F134-1</f>
        <v>-2.4809160305342415E-3</v>
      </c>
      <c r="Q133" s="23">
        <f t="shared" ref="Q133:Q196" si="33">G133/G134-1</f>
        <v>-2.8978007761966351E-2</v>
      </c>
      <c r="R133" s="23">
        <f t="shared" ref="R133:R196" si="34">H133/H134-1</f>
        <v>6.0606060606058776E-3</v>
      </c>
      <c r="S133" s="23">
        <f t="shared" ref="S133:S196" si="35">I133/I134-1</f>
        <v>-2.9160591543428982E-3</v>
      </c>
      <c r="T133" s="23">
        <f t="shared" ref="T133:T196" si="36">J133/J134-1</f>
        <v>-1.9071310116086315E-2</v>
      </c>
      <c r="U133" s="23">
        <f t="shared" ref="U133:U196" si="37">K133/K134-1</f>
        <v>-2.7026050511254729E-2</v>
      </c>
      <c r="V133" s="23">
        <f t="shared" ref="V133:V196" si="38">L133/L134-1</f>
        <v>3.901470430396059E-2</v>
      </c>
      <c r="W133" s="23">
        <f t="shared" ref="W133:W196" si="39">M133/M134-1</f>
        <v>4.8145182812917131E-2</v>
      </c>
      <c r="X133" s="23">
        <f t="shared" ref="X133:X196" si="40">N133/N134-1</f>
        <v>-2.5861126662301004E-3</v>
      </c>
      <c r="Y133" s="23">
        <f t="shared" ref="Y133:Y196" si="41">O133/O134-1</f>
        <v>1.5724132887204867E-3</v>
      </c>
    </row>
    <row r="134" spans="1:25" x14ac:dyDescent="0.3">
      <c r="A134" s="2">
        <f t="shared" si="29"/>
        <v>131</v>
      </c>
      <c r="B134" s="3">
        <v>45468</v>
      </c>
      <c r="C134" s="13">
        <f t="shared" si="30"/>
        <v>2024</v>
      </c>
      <c r="D134" s="13">
        <f t="shared" si="31"/>
        <v>6</v>
      </c>
      <c r="E134" s="24">
        <v>18.0932</v>
      </c>
      <c r="F134" s="25">
        <v>52.4</v>
      </c>
      <c r="G134" s="25">
        <v>38.65</v>
      </c>
      <c r="H134" s="25">
        <v>11.55</v>
      </c>
      <c r="I134" s="25">
        <v>240.05</v>
      </c>
      <c r="J134" s="25">
        <v>12.06</v>
      </c>
      <c r="K134" s="25">
        <v>276.77</v>
      </c>
      <c r="L134" s="25">
        <v>186.34</v>
      </c>
      <c r="M134" s="25">
        <v>187.35</v>
      </c>
      <c r="N134" s="25">
        <v>52604.05</v>
      </c>
      <c r="O134" s="25">
        <v>5469.3</v>
      </c>
      <c r="P134" s="23">
        <f t="shared" si="32"/>
        <v>1.9120458891013214E-3</v>
      </c>
      <c r="Q134" s="23">
        <f t="shared" si="33"/>
        <v>2.7379053694843281E-2</v>
      </c>
      <c r="R134" s="23">
        <f t="shared" si="34"/>
        <v>6.0975609756097615E-3</v>
      </c>
      <c r="S134" s="23">
        <f t="shared" si="35"/>
        <v>-1.4143683181495614E-3</v>
      </c>
      <c r="T134" s="23">
        <f t="shared" si="36"/>
        <v>8.3612040133778098E-3</v>
      </c>
      <c r="U134" s="23">
        <f t="shared" si="37"/>
        <v>-1.7326469021835544E-2</v>
      </c>
      <c r="V134" s="23">
        <f t="shared" si="38"/>
        <v>4.1493775933609811E-3</v>
      </c>
      <c r="W134" s="23">
        <f t="shared" si="39"/>
        <v>2.6125534012487517E-2</v>
      </c>
      <c r="X134" s="23">
        <f t="shared" si="40"/>
        <v>1.7355732142818603E-3</v>
      </c>
      <c r="Y134" s="23">
        <f t="shared" si="41"/>
        <v>3.9336474622191364E-3</v>
      </c>
    </row>
    <row r="135" spans="1:25" x14ac:dyDescent="0.3">
      <c r="A135" s="2">
        <f t="shared" si="29"/>
        <v>132</v>
      </c>
      <c r="B135" s="3">
        <v>45467</v>
      </c>
      <c r="C135" s="13">
        <f t="shared" si="30"/>
        <v>2024</v>
      </c>
      <c r="D135" s="13">
        <f t="shared" si="31"/>
        <v>6</v>
      </c>
      <c r="E135" s="24">
        <v>17.937999999999999</v>
      </c>
      <c r="F135" s="25">
        <v>52.3</v>
      </c>
      <c r="G135" s="25">
        <v>37.619999999999997</v>
      </c>
      <c r="H135" s="25">
        <v>11.48</v>
      </c>
      <c r="I135" s="25">
        <v>240.39</v>
      </c>
      <c r="J135" s="25">
        <v>11.96</v>
      </c>
      <c r="K135" s="25">
        <v>281.64999999999998</v>
      </c>
      <c r="L135" s="25">
        <v>185.57</v>
      </c>
      <c r="M135" s="25">
        <v>182.58</v>
      </c>
      <c r="N135" s="25">
        <v>52512.91</v>
      </c>
      <c r="O135" s="25">
        <v>5447.87</v>
      </c>
      <c r="P135" s="23">
        <f t="shared" si="32"/>
        <v>-5.7034220532320434E-3</v>
      </c>
      <c r="Q135" s="23">
        <f t="shared" si="33"/>
        <v>-3.0412371134020622E-2</v>
      </c>
      <c r="R135" s="23">
        <f t="shared" si="34"/>
        <v>3.4965034965035446E-3</v>
      </c>
      <c r="S135" s="23">
        <f t="shared" si="35"/>
        <v>2.7530972343887683E-3</v>
      </c>
      <c r="T135" s="23">
        <f t="shared" si="36"/>
        <v>3.1924072476272825E-2</v>
      </c>
      <c r="U135" s="23">
        <f t="shared" si="37"/>
        <v>-5.1218650653480635E-3</v>
      </c>
      <c r="V135" s="23">
        <f t="shared" si="38"/>
        <v>-1.8563570975248633E-2</v>
      </c>
      <c r="W135" s="23">
        <f t="shared" si="39"/>
        <v>-2.3495983826019584E-3</v>
      </c>
      <c r="X135" s="23">
        <f t="shared" si="40"/>
        <v>-5.2206446479819979E-3</v>
      </c>
      <c r="Y135" s="23">
        <f t="shared" si="41"/>
        <v>-3.0651719607218686E-3</v>
      </c>
    </row>
    <row r="136" spans="1:25" x14ac:dyDescent="0.3">
      <c r="A136" s="2">
        <f t="shared" si="29"/>
        <v>133</v>
      </c>
      <c r="B136" s="3">
        <v>45464</v>
      </c>
      <c r="C136" s="13">
        <f t="shared" si="30"/>
        <v>2024</v>
      </c>
      <c r="D136" s="13">
        <f t="shared" si="31"/>
        <v>6</v>
      </c>
      <c r="E136" s="24">
        <v>18.100000000000001</v>
      </c>
      <c r="F136" s="25">
        <v>52.6</v>
      </c>
      <c r="G136" s="25">
        <v>38.799999999999997</v>
      </c>
      <c r="H136" s="25">
        <v>11.44</v>
      </c>
      <c r="I136" s="25">
        <v>239.73</v>
      </c>
      <c r="J136" s="25">
        <v>11.59</v>
      </c>
      <c r="K136" s="25">
        <v>283.10000000000002</v>
      </c>
      <c r="L136" s="25">
        <v>189.08</v>
      </c>
      <c r="M136" s="25">
        <v>183.01</v>
      </c>
      <c r="N136" s="25">
        <v>52788.5</v>
      </c>
      <c r="O136" s="25">
        <v>5464.62</v>
      </c>
      <c r="P136" s="23">
        <f t="shared" si="32"/>
        <v>-1.0906355772846932E-2</v>
      </c>
      <c r="Q136" s="23">
        <f t="shared" si="33"/>
        <v>5.6932715881231166E-2</v>
      </c>
      <c r="R136" s="23">
        <f t="shared" si="34"/>
        <v>-2.7210884353741527E-2</v>
      </c>
      <c r="S136" s="23">
        <f t="shared" si="35"/>
        <v>-7.0669871297875608E-2</v>
      </c>
      <c r="T136" s="23">
        <f t="shared" si="36"/>
        <v>-4.1356492969396141E-2</v>
      </c>
      <c r="U136" s="23">
        <f t="shared" si="37"/>
        <v>-2.0381328073635685E-2</v>
      </c>
      <c r="V136" s="23">
        <f t="shared" si="38"/>
        <v>1.6012896292316059E-2</v>
      </c>
      <c r="W136" s="23">
        <f t="shared" si="39"/>
        <v>7.9308255769123814E-3</v>
      </c>
      <c r="X136" s="23">
        <f t="shared" si="40"/>
        <v>-1.0209995569349761E-2</v>
      </c>
      <c r="Y136" s="23">
        <f t="shared" si="41"/>
        <v>-1.5621659842468549E-3</v>
      </c>
    </row>
    <row r="137" spans="1:25" x14ac:dyDescent="0.3">
      <c r="A137" s="2">
        <f t="shared" si="29"/>
        <v>134</v>
      </c>
      <c r="B137" s="3">
        <v>45463</v>
      </c>
      <c r="C137" s="13">
        <f t="shared" si="30"/>
        <v>2024</v>
      </c>
      <c r="D137" s="13">
        <f t="shared" si="31"/>
        <v>6</v>
      </c>
      <c r="E137" s="24">
        <v>18.345400000000001</v>
      </c>
      <c r="F137" s="25">
        <v>53.18</v>
      </c>
      <c r="G137" s="25">
        <v>36.71</v>
      </c>
      <c r="H137" s="25">
        <v>11.76</v>
      </c>
      <c r="I137" s="25">
        <v>257.95999999999998</v>
      </c>
      <c r="J137" s="25">
        <v>12.09</v>
      </c>
      <c r="K137" s="25">
        <v>288.99</v>
      </c>
      <c r="L137" s="25">
        <v>186.1</v>
      </c>
      <c r="M137" s="25">
        <v>181.57</v>
      </c>
      <c r="N137" s="25">
        <v>53333.03</v>
      </c>
      <c r="O137" s="25">
        <v>5473.17</v>
      </c>
      <c r="P137" s="23">
        <f t="shared" si="32"/>
        <v>1.8839487565938118E-3</v>
      </c>
      <c r="Q137" s="23">
        <f t="shared" si="33"/>
        <v>3.2795845859523443E-3</v>
      </c>
      <c r="R137" s="23">
        <f t="shared" si="34"/>
        <v>-1.9182652210175233E-2</v>
      </c>
      <c r="S137" s="23">
        <f t="shared" si="35"/>
        <v>4.7553299492385737E-2</v>
      </c>
      <c r="T137" s="23">
        <f t="shared" si="36"/>
        <v>-2.5000000000000022E-2</v>
      </c>
      <c r="U137" s="23">
        <f t="shared" si="37"/>
        <v>3.8078094710614074E-4</v>
      </c>
      <c r="V137" s="23">
        <f t="shared" si="38"/>
        <v>1.7996827307040109E-2</v>
      </c>
      <c r="W137" s="23">
        <f t="shared" si="39"/>
        <v>-1.7797251974467243E-2</v>
      </c>
      <c r="X137" s="23">
        <f t="shared" si="40"/>
        <v>1.8115884273628424E-4</v>
      </c>
      <c r="Y137" s="23">
        <f t="shared" si="41"/>
        <v>-2.5259566650810417E-3</v>
      </c>
    </row>
    <row r="138" spans="1:25" x14ac:dyDescent="0.3">
      <c r="A138" s="2">
        <f t="shared" si="29"/>
        <v>135</v>
      </c>
      <c r="B138" s="3">
        <v>45462</v>
      </c>
      <c r="C138" s="13">
        <f t="shared" si="30"/>
        <v>2024</v>
      </c>
      <c r="D138" s="13">
        <f t="shared" si="31"/>
        <v>6</v>
      </c>
      <c r="E138" s="24">
        <v>18.408000000000001</v>
      </c>
      <c r="F138" s="25">
        <v>53.08</v>
      </c>
      <c r="G138" s="25">
        <v>36.590000000000003</v>
      </c>
      <c r="H138" s="25">
        <v>11.99</v>
      </c>
      <c r="I138" s="25">
        <v>246.25</v>
      </c>
      <c r="J138" s="25">
        <v>12.4</v>
      </c>
      <c r="K138" s="25">
        <v>288.88</v>
      </c>
      <c r="L138" s="25">
        <v>182.81</v>
      </c>
      <c r="M138" s="25">
        <v>184.86</v>
      </c>
      <c r="N138" s="25">
        <v>53323.37</v>
      </c>
      <c r="O138" s="25">
        <v>5487.03</v>
      </c>
      <c r="P138" s="23">
        <f t="shared" si="32"/>
        <v>3.7693177534858791E-4</v>
      </c>
      <c r="Q138" s="23">
        <f t="shared" si="33"/>
        <v>1.6953863257365365E-2</v>
      </c>
      <c r="R138" s="23">
        <f t="shared" si="34"/>
        <v>3.3472803347280866E-3</v>
      </c>
      <c r="S138" s="23">
        <f t="shared" si="35"/>
        <v>-8.6553945249597808E-3</v>
      </c>
      <c r="T138" s="23">
        <f t="shared" si="36"/>
        <v>1.1419249592169667E-2</v>
      </c>
      <c r="U138" s="23">
        <f t="shared" si="37"/>
        <v>-1.4599536089507481E-2</v>
      </c>
      <c r="V138" s="23">
        <f t="shared" si="38"/>
        <v>0</v>
      </c>
      <c r="W138" s="23">
        <f t="shared" si="39"/>
        <v>0</v>
      </c>
      <c r="X138" s="23">
        <f t="shared" si="40"/>
        <v>1.6325277826512163E-3</v>
      </c>
      <c r="Y138" s="23">
        <f t="shared" si="41"/>
        <v>0</v>
      </c>
    </row>
    <row r="139" spans="1:25" x14ac:dyDescent="0.3">
      <c r="A139" s="2">
        <f t="shared" si="29"/>
        <v>136</v>
      </c>
      <c r="B139" s="3">
        <v>45461</v>
      </c>
      <c r="C139" s="13">
        <f t="shared" si="30"/>
        <v>2024</v>
      </c>
      <c r="D139" s="13">
        <f t="shared" si="31"/>
        <v>6</v>
      </c>
      <c r="E139" s="24">
        <v>18.395</v>
      </c>
      <c r="F139" s="25">
        <v>53.06</v>
      </c>
      <c r="G139" s="25">
        <v>35.979999999999997</v>
      </c>
      <c r="H139" s="25">
        <v>11.95</v>
      </c>
      <c r="I139" s="25">
        <v>248.4</v>
      </c>
      <c r="J139" s="25">
        <v>12.26</v>
      </c>
      <c r="K139" s="25">
        <v>293.16000000000003</v>
      </c>
      <c r="L139" s="25">
        <v>182.81</v>
      </c>
      <c r="M139" s="25">
        <v>184.86</v>
      </c>
      <c r="N139" s="25">
        <v>53236.46</v>
      </c>
      <c r="O139" s="25">
        <v>5487.03</v>
      </c>
      <c r="P139" s="23">
        <f t="shared" si="32"/>
        <v>1.6475095785440708E-2</v>
      </c>
      <c r="Q139" s="23">
        <f t="shared" si="33"/>
        <v>2.5655644241733055E-2</v>
      </c>
      <c r="R139" s="23">
        <f t="shared" si="34"/>
        <v>-8.2987551867220732E-3</v>
      </c>
      <c r="S139" s="23">
        <f t="shared" si="35"/>
        <v>3.8027580442958619E-2</v>
      </c>
      <c r="T139" s="23">
        <f t="shared" si="36"/>
        <v>-5.6772100567721306E-3</v>
      </c>
      <c r="U139" s="23">
        <f t="shared" si="37"/>
        <v>1.1908460184322456E-2</v>
      </c>
      <c r="V139" s="23">
        <f t="shared" si="38"/>
        <v>-6.7912637183527025E-3</v>
      </c>
      <c r="W139" s="23">
        <f t="shared" si="39"/>
        <v>-1.3764404609474923E-2</v>
      </c>
      <c r="X139" s="23">
        <f t="shared" si="40"/>
        <v>1.601726809829529E-2</v>
      </c>
      <c r="Y139" s="23">
        <f t="shared" si="41"/>
        <v>2.5213630708009749E-3</v>
      </c>
    </row>
    <row r="140" spans="1:25" x14ac:dyDescent="0.3">
      <c r="A140" s="2">
        <f t="shared" si="29"/>
        <v>137</v>
      </c>
      <c r="B140" s="3">
        <v>45460</v>
      </c>
      <c r="C140" s="13">
        <f t="shared" si="30"/>
        <v>2024</v>
      </c>
      <c r="D140" s="13">
        <f t="shared" si="31"/>
        <v>6</v>
      </c>
      <c r="E140" s="24">
        <v>18.507999999999999</v>
      </c>
      <c r="F140" s="25">
        <v>52.2</v>
      </c>
      <c r="G140" s="25">
        <v>35.08</v>
      </c>
      <c r="H140" s="25">
        <v>12.05</v>
      </c>
      <c r="I140" s="25">
        <v>239.3</v>
      </c>
      <c r="J140" s="25">
        <v>12.33</v>
      </c>
      <c r="K140" s="25">
        <v>289.70999999999998</v>
      </c>
      <c r="L140" s="25">
        <v>184.06</v>
      </c>
      <c r="M140" s="25">
        <v>187.44</v>
      </c>
      <c r="N140" s="25">
        <v>52397.2</v>
      </c>
      <c r="O140" s="25">
        <v>5473.23</v>
      </c>
      <c r="P140" s="23">
        <f t="shared" si="32"/>
        <v>2.3041474654379446E-3</v>
      </c>
      <c r="Q140" s="23">
        <f t="shared" si="33"/>
        <v>-1.7091622303166187E-2</v>
      </c>
      <c r="R140" s="23">
        <f t="shared" si="34"/>
        <v>1.345668629100083E-2</v>
      </c>
      <c r="S140" s="23">
        <f t="shared" si="35"/>
        <v>-3.912753912753919E-3</v>
      </c>
      <c r="T140" s="23">
        <f t="shared" si="36"/>
        <v>-1.1226944667201311E-2</v>
      </c>
      <c r="U140" s="23">
        <f t="shared" si="37"/>
        <v>-2.1051564506318954E-2</v>
      </c>
      <c r="V140" s="23">
        <f t="shared" si="38"/>
        <v>2.1779374931940598E-3</v>
      </c>
      <c r="W140" s="23">
        <f t="shared" si="39"/>
        <v>5.2974551991461283E-2</v>
      </c>
      <c r="X140" s="23">
        <f t="shared" si="40"/>
        <v>3.3368477531137142E-3</v>
      </c>
      <c r="Y140" s="23">
        <f t="shared" si="41"/>
        <v>7.6644082774870448E-3</v>
      </c>
    </row>
    <row r="141" spans="1:25" x14ac:dyDescent="0.3">
      <c r="A141" s="2">
        <f t="shared" si="29"/>
        <v>138</v>
      </c>
      <c r="B141" s="3">
        <v>45457</v>
      </c>
      <c r="C141" s="13">
        <f t="shared" si="30"/>
        <v>2024</v>
      </c>
      <c r="D141" s="13">
        <f t="shared" si="31"/>
        <v>6</v>
      </c>
      <c r="E141" s="24">
        <v>18.454000000000001</v>
      </c>
      <c r="F141" s="25">
        <v>52.08</v>
      </c>
      <c r="G141" s="25">
        <v>35.69</v>
      </c>
      <c r="H141" s="25">
        <v>11.89</v>
      </c>
      <c r="I141" s="25">
        <v>240.24</v>
      </c>
      <c r="J141" s="25">
        <v>12.47</v>
      </c>
      <c r="K141" s="25">
        <v>295.94</v>
      </c>
      <c r="L141" s="25">
        <v>183.66</v>
      </c>
      <c r="M141" s="25">
        <v>178.01</v>
      </c>
      <c r="N141" s="25">
        <v>52222.94</v>
      </c>
      <c r="O141" s="25">
        <v>5431.6</v>
      </c>
      <c r="P141" s="23">
        <f t="shared" si="32"/>
        <v>-1.9197542714544102E-4</v>
      </c>
      <c r="Q141" s="23">
        <f t="shared" si="33"/>
        <v>-7.5083426028922373E-3</v>
      </c>
      <c r="R141" s="23">
        <f t="shared" si="34"/>
        <v>-2.4610336341263195E-2</v>
      </c>
      <c r="S141" s="23">
        <f t="shared" si="35"/>
        <v>1.7513134851139256E-3</v>
      </c>
      <c r="T141" s="23">
        <f t="shared" si="36"/>
        <v>-1.6561514195583493E-2</v>
      </c>
      <c r="U141" s="23">
        <f t="shared" si="37"/>
        <v>1.3195736761968391E-3</v>
      </c>
      <c r="V141" s="23">
        <f t="shared" si="38"/>
        <v>-9.2476744818592582E-4</v>
      </c>
      <c r="W141" s="23">
        <f t="shared" si="39"/>
        <v>-2.4442374088891383E-2</v>
      </c>
      <c r="X141" s="23">
        <f t="shared" si="40"/>
        <v>-1.0083088397753182E-3</v>
      </c>
      <c r="Y141" s="23">
        <f t="shared" si="41"/>
        <v>-3.9383555341243603E-4</v>
      </c>
    </row>
    <row r="142" spans="1:25" x14ac:dyDescent="0.3">
      <c r="A142" s="2">
        <f t="shared" si="29"/>
        <v>139</v>
      </c>
      <c r="B142" s="3">
        <v>45456</v>
      </c>
      <c r="C142" s="13">
        <f t="shared" si="30"/>
        <v>2024</v>
      </c>
      <c r="D142" s="13">
        <f t="shared" si="31"/>
        <v>6</v>
      </c>
      <c r="E142" s="24">
        <v>18.355</v>
      </c>
      <c r="F142" s="25">
        <v>52.09</v>
      </c>
      <c r="G142" s="25">
        <v>35.96</v>
      </c>
      <c r="H142" s="25">
        <v>12.19</v>
      </c>
      <c r="I142" s="25">
        <v>239.82</v>
      </c>
      <c r="J142" s="25">
        <v>12.68</v>
      </c>
      <c r="K142" s="25">
        <v>295.55</v>
      </c>
      <c r="L142" s="25">
        <v>183.83</v>
      </c>
      <c r="M142" s="25">
        <v>182.47</v>
      </c>
      <c r="N142" s="25">
        <v>52275.65</v>
      </c>
      <c r="O142" s="25">
        <v>5433.74</v>
      </c>
      <c r="P142" s="23">
        <f t="shared" si="32"/>
        <v>-1.3446969696969568E-2</v>
      </c>
      <c r="Q142" s="23">
        <f t="shared" si="33"/>
        <v>4.1887740854509303E-3</v>
      </c>
      <c r="R142" s="23">
        <f t="shared" si="34"/>
        <v>-1.6935483870967771E-2</v>
      </c>
      <c r="S142" s="23">
        <f t="shared" si="35"/>
        <v>-1.2110726643598579E-2</v>
      </c>
      <c r="T142" s="23">
        <f t="shared" si="36"/>
        <v>-2.9839326702371882E-2</v>
      </c>
      <c r="U142" s="23">
        <f t="shared" si="37"/>
        <v>1.7734159779614345E-2</v>
      </c>
      <c r="V142" s="23">
        <f t="shared" si="38"/>
        <v>-1.6373267697575966E-2</v>
      </c>
      <c r="W142" s="23">
        <f t="shared" si="39"/>
        <v>2.9217665971007944E-2</v>
      </c>
      <c r="X142" s="23">
        <f t="shared" si="40"/>
        <v>-1.3218088454955645E-2</v>
      </c>
      <c r="Y142" s="23">
        <f t="shared" si="41"/>
        <v>2.3445728948188194E-3</v>
      </c>
    </row>
    <row r="143" spans="1:25" x14ac:dyDescent="0.3">
      <c r="A143" s="2">
        <f t="shared" si="29"/>
        <v>140</v>
      </c>
      <c r="B143" s="3">
        <v>45455</v>
      </c>
      <c r="C143" s="13">
        <f t="shared" si="30"/>
        <v>2024</v>
      </c>
      <c r="D143" s="13">
        <f t="shared" si="31"/>
        <v>6</v>
      </c>
      <c r="E143" s="24">
        <v>18.73</v>
      </c>
      <c r="F143" s="25">
        <v>52.8</v>
      </c>
      <c r="G143" s="25">
        <v>35.81</v>
      </c>
      <c r="H143" s="25">
        <v>12.4</v>
      </c>
      <c r="I143" s="25">
        <v>242.76</v>
      </c>
      <c r="J143" s="25">
        <v>13.07</v>
      </c>
      <c r="K143" s="25">
        <v>290.39999999999998</v>
      </c>
      <c r="L143" s="25">
        <v>186.89</v>
      </c>
      <c r="M143" s="25">
        <v>177.29</v>
      </c>
      <c r="N143" s="25">
        <v>52975.89</v>
      </c>
      <c r="O143" s="25">
        <v>5421.03</v>
      </c>
      <c r="P143" s="23">
        <f t="shared" si="32"/>
        <v>-3.0211480362538623E-3</v>
      </c>
      <c r="Q143" s="23">
        <f t="shared" si="33"/>
        <v>2.793296089387276E-4</v>
      </c>
      <c r="R143" s="23">
        <f t="shared" si="34"/>
        <v>3.8525963149078857E-2</v>
      </c>
      <c r="S143" s="23">
        <f t="shared" si="35"/>
        <v>6.0505594695399179E-3</v>
      </c>
      <c r="T143" s="23">
        <f t="shared" si="36"/>
        <v>4.6118370484242721E-3</v>
      </c>
      <c r="U143" s="23">
        <f t="shared" si="37"/>
        <v>2.6931841723636385E-3</v>
      </c>
      <c r="V143" s="23">
        <f t="shared" si="38"/>
        <v>-1.8159482988837627E-3</v>
      </c>
      <c r="W143" s="23">
        <f t="shared" si="39"/>
        <v>3.8849173795851399E-2</v>
      </c>
      <c r="X143" s="23">
        <f t="shared" si="40"/>
        <v>-2.9768099783828994E-3</v>
      </c>
      <c r="Y143" s="23">
        <f t="shared" si="41"/>
        <v>8.503679780924589E-3</v>
      </c>
    </row>
    <row r="144" spans="1:25" x14ac:dyDescent="0.3">
      <c r="A144" s="2">
        <f t="shared" si="29"/>
        <v>141</v>
      </c>
      <c r="B144" s="3">
        <v>45454</v>
      </c>
      <c r="C144" s="13">
        <f t="shared" si="30"/>
        <v>2024</v>
      </c>
      <c r="D144" s="13">
        <f t="shared" si="31"/>
        <v>6</v>
      </c>
      <c r="E144" s="24">
        <v>18.570599999999999</v>
      </c>
      <c r="F144" s="25">
        <v>52.96</v>
      </c>
      <c r="G144" s="25">
        <v>35.799999999999997</v>
      </c>
      <c r="H144" s="25">
        <v>11.94</v>
      </c>
      <c r="I144" s="25">
        <v>241.3</v>
      </c>
      <c r="J144" s="25">
        <v>13.01</v>
      </c>
      <c r="K144" s="25">
        <v>289.62</v>
      </c>
      <c r="L144" s="25">
        <v>187.23</v>
      </c>
      <c r="M144" s="25">
        <v>170.66</v>
      </c>
      <c r="N144" s="25">
        <v>53134.06</v>
      </c>
      <c r="O144" s="25">
        <v>5375.32</v>
      </c>
      <c r="P144" s="23">
        <f t="shared" si="32"/>
        <v>-1.8878610534256435E-4</v>
      </c>
      <c r="Q144" s="23">
        <f t="shared" si="33"/>
        <v>-5.0027793218454519E-3</v>
      </c>
      <c r="R144" s="23">
        <f t="shared" si="34"/>
        <v>-1.9704433497536922E-2</v>
      </c>
      <c r="S144" s="23">
        <f t="shared" si="35"/>
        <v>2.0037199864727739E-2</v>
      </c>
      <c r="T144" s="23">
        <f t="shared" si="36"/>
        <v>7.6923076923085532E-4</v>
      </c>
      <c r="U144" s="23">
        <f t="shared" si="37"/>
        <v>2.2840531561463262E-3</v>
      </c>
      <c r="V144" s="23">
        <f t="shared" si="38"/>
        <v>9.0879931572751538E-4</v>
      </c>
      <c r="W144" s="23">
        <f t="shared" si="39"/>
        <v>-1.8010242246389252E-2</v>
      </c>
      <c r="X144" s="23">
        <f t="shared" si="40"/>
        <v>2.1610396181803715E-4</v>
      </c>
      <c r="Y144" s="23">
        <f t="shared" si="41"/>
        <v>2.7104214117694703E-3</v>
      </c>
    </row>
    <row r="145" spans="1:25" x14ac:dyDescent="0.3">
      <c r="A145" s="2">
        <f t="shared" si="29"/>
        <v>142</v>
      </c>
      <c r="B145" s="3">
        <v>45453</v>
      </c>
      <c r="C145" s="13">
        <f t="shared" si="30"/>
        <v>2024</v>
      </c>
      <c r="D145" s="13">
        <f t="shared" si="31"/>
        <v>6</v>
      </c>
      <c r="E145" s="24">
        <v>18.21</v>
      </c>
      <c r="F145" s="25">
        <v>52.97</v>
      </c>
      <c r="G145" s="25">
        <v>35.979999999999997</v>
      </c>
      <c r="H145" s="25">
        <v>12.18</v>
      </c>
      <c r="I145" s="25">
        <v>236.56</v>
      </c>
      <c r="J145" s="25">
        <v>13</v>
      </c>
      <c r="K145" s="25">
        <v>288.95999999999998</v>
      </c>
      <c r="L145" s="25">
        <v>187.06</v>
      </c>
      <c r="M145" s="25">
        <v>173.79</v>
      </c>
      <c r="N145" s="25">
        <v>53122.58</v>
      </c>
      <c r="O145" s="25">
        <v>5360.79</v>
      </c>
      <c r="P145" s="23">
        <f t="shared" si="32"/>
        <v>3.5998484274346598E-3</v>
      </c>
      <c r="Q145" s="23">
        <f t="shared" si="33"/>
        <v>2.4487471526195792E-2</v>
      </c>
      <c r="R145" s="23">
        <f t="shared" si="34"/>
        <v>6.6115702479339067E-3</v>
      </c>
      <c r="S145" s="23">
        <f t="shared" si="35"/>
        <v>-2.0941975002069402E-2</v>
      </c>
      <c r="T145" s="23">
        <f t="shared" si="36"/>
        <v>1.7214397496087663E-2</v>
      </c>
      <c r="U145" s="23">
        <f t="shared" si="37"/>
        <v>1.9367128796697886E-2</v>
      </c>
      <c r="V145" s="23">
        <f t="shared" si="38"/>
        <v>1.49755832881171E-2</v>
      </c>
      <c r="W145" s="23">
        <f t="shared" si="39"/>
        <v>-2.0791075050709873E-2</v>
      </c>
      <c r="X145" s="23">
        <f t="shared" si="40"/>
        <v>2.741928055250753E-3</v>
      </c>
      <c r="Y145" s="23">
        <f t="shared" si="41"/>
        <v>2.5808913052016713E-3</v>
      </c>
    </row>
    <row r="146" spans="1:25" x14ac:dyDescent="0.3">
      <c r="A146" s="2">
        <f t="shared" si="29"/>
        <v>143</v>
      </c>
      <c r="B146" s="3">
        <v>45450</v>
      </c>
      <c r="C146" s="13">
        <f t="shared" si="30"/>
        <v>2024</v>
      </c>
      <c r="D146" s="13">
        <f t="shared" si="31"/>
        <v>6</v>
      </c>
      <c r="E146" s="24">
        <v>18.38</v>
      </c>
      <c r="F146" s="25">
        <v>52.78</v>
      </c>
      <c r="G146" s="25">
        <v>35.119999999999997</v>
      </c>
      <c r="H146" s="25">
        <v>12.1</v>
      </c>
      <c r="I146" s="25">
        <v>241.62</v>
      </c>
      <c r="J146" s="25">
        <v>12.78</v>
      </c>
      <c r="K146" s="25">
        <v>283.47000000000003</v>
      </c>
      <c r="L146" s="25">
        <v>184.3</v>
      </c>
      <c r="M146" s="25">
        <v>177.48</v>
      </c>
      <c r="N146" s="25">
        <v>52977.32</v>
      </c>
      <c r="O146" s="25">
        <v>5346.99</v>
      </c>
      <c r="P146" s="23">
        <f t="shared" si="32"/>
        <v>-2.7813593663658098E-2</v>
      </c>
      <c r="Q146" s="23">
        <f t="shared" si="33"/>
        <v>-1.2928611579539062E-2</v>
      </c>
      <c r="R146" s="23">
        <f t="shared" si="34"/>
        <v>-2.4979854955680891E-2</v>
      </c>
      <c r="S146" s="23">
        <f t="shared" si="35"/>
        <v>-6.4213787761425167E-2</v>
      </c>
      <c r="T146" s="23">
        <f t="shared" si="36"/>
        <v>1.5673981191222097E-3</v>
      </c>
      <c r="U146" s="23">
        <f t="shared" si="37"/>
        <v>-7.3884725821133923E-3</v>
      </c>
      <c r="V146" s="23">
        <f t="shared" si="38"/>
        <v>-3.7837837837837451E-3</v>
      </c>
      <c r="W146" s="23">
        <f t="shared" si="39"/>
        <v>-2.5851410587839352E-3</v>
      </c>
      <c r="X146" s="23">
        <f t="shared" si="40"/>
        <v>-2.7533144569522161E-2</v>
      </c>
      <c r="Y146" s="23">
        <f t="shared" si="41"/>
        <v>-1.1152708034434244E-3</v>
      </c>
    </row>
    <row r="147" spans="1:25" x14ac:dyDescent="0.3">
      <c r="A147" s="2">
        <f t="shared" si="29"/>
        <v>144</v>
      </c>
      <c r="B147" s="3">
        <v>45449</v>
      </c>
      <c r="C147" s="13">
        <f t="shared" si="30"/>
        <v>2024</v>
      </c>
      <c r="D147" s="13">
        <f t="shared" si="31"/>
        <v>6</v>
      </c>
      <c r="E147" s="24">
        <v>17.97</v>
      </c>
      <c r="F147" s="25">
        <v>54.29</v>
      </c>
      <c r="G147" s="25">
        <v>35.58</v>
      </c>
      <c r="H147" s="25">
        <v>12.41</v>
      </c>
      <c r="I147" s="25">
        <v>258.2</v>
      </c>
      <c r="J147" s="25">
        <v>12.76</v>
      </c>
      <c r="K147" s="25">
        <v>285.58</v>
      </c>
      <c r="L147" s="25">
        <v>185</v>
      </c>
      <c r="M147" s="25">
        <v>177.94</v>
      </c>
      <c r="N147" s="25">
        <v>54477.25</v>
      </c>
      <c r="O147" s="25">
        <v>5352.96</v>
      </c>
      <c r="P147" s="23">
        <f t="shared" si="32"/>
        <v>1.4757424829368038E-3</v>
      </c>
      <c r="Q147" s="23">
        <f t="shared" si="33"/>
        <v>-1.6835016835017313E-3</v>
      </c>
      <c r="R147" s="23">
        <f t="shared" si="34"/>
        <v>-1.6090104585679832E-3</v>
      </c>
      <c r="S147" s="23">
        <f t="shared" si="35"/>
        <v>2.3587710604558998E-2</v>
      </c>
      <c r="T147" s="23">
        <f t="shared" si="36"/>
        <v>1.5923566878980777E-2</v>
      </c>
      <c r="U147" s="23">
        <f t="shared" si="37"/>
        <v>2.6896799712333497E-2</v>
      </c>
      <c r="V147" s="23">
        <f t="shared" si="38"/>
        <v>2.0520741394527864E-2</v>
      </c>
      <c r="W147" s="23">
        <f t="shared" si="39"/>
        <v>1.6799999999999926E-2</v>
      </c>
      <c r="X147" s="23">
        <f t="shared" si="40"/>
        <v>1.2266012577348828E-3</v>
      </c>
      <c r="Y147" s="23">
        <f t="shared" si="41"/>
        <v>-1.9984945919238051E-4</v>
      </c>
    </row>
    <row r="148" spans="1:25" x14ac:dyDescent="0.3">
      <c r="A148" s="2">
        <f t="shared" si="29"/>
        <v>145</v>
      </c>
      <c r="B148" s="3">
        <v>45448</v>
      </c>
      <c r="C148" s="13">
        <f t="shared" si="30"/>
        <v>2024</v>
      </c>
      <c r="D148" s="13">
        <f t="shared" si="31"/>
        <v>6</v>
      </c>
      <c r="E148" s="24">
        <v>17.492999999999999</v>
      </c>
      <c r="F148" s="25">
        <v>54.21</v>
      </c>
      <c r="G148" s="25">
        <v>35.64</v>
      </c>
      <c r="H148" s="25">
        <v>12.43</v>
      </c>
      <c r="I148" s="25">
        <v>252.25</v>
      </c>
      <c r="J148" s="25">
        <v>12.56</v>
      </c>
      <c r="K148" s="25">
        <v>278.10000000000002</v>
      </c>
      <c r="L148" s="25">
        <v>181.28</v>
      </c>
      <c r="M148" s="25">
        <v>175</v>
      </c>
      <c r="N148" s="25">
        <v>54410.51</v>
      </c>
      <c r="O148" s="25">
        <v>5354.03</v>
      </c>
      <c r="P148" s="23">
        <f t="shared" si="32"/>
        <v>1.8028169014084439E-2</v>
      </c>
      <c r="Q148" s="23">
        <f t="shared" si="33"/>
        <v>2.2497187851517886E-3</v>
      </c>
      <c r="R148" s="23">
        <f t="shared" si="34"/>
        <v>7.2933549432738776E-3</v>
      </c>
      <c r="S148" s="23">
        <f t="shared" si="35"/>
        <v>-8.3181494098083508E-4</v>
      </c>
      <c r="T148" s="23">
        <f t="shared" si="36"/>
        <v>2.1138211382113692E-2</v>
      </c>
      <c r="U148" s="23">
        <f t="shared" si="37"/>
        <v>7.7547470647920669E-3</v>
      </c>
      <c r="V148" s="23">
        <f t="shared" si="38"/>
        <v>1.0817441730790689E-2</v>
      </c>
      <c r="W148" s="23">
        <f t="shared" si="39"/>
        <v>1.3160153344395908E-3</v>
      </c>
      <c r="X148" s="23">
        <f t="shared" si="40"/>
        <v>1.7292311466147403E-2</v>
      </c>
      <c r="Y148" s="23">
        <f t="shared" si="41"/>
        <v>1.1847660516995706E-2</v>
      </c>
    </row>
    <row r="149" spans="1:25" x14ac:dyDescent="0.3">
      <c r="A149" s="2">
        <f t="shared" si="29"/>
        <v>146</v>
      </c>
      <c r="B149" s="3">
        <v>45447</v>
      </c>
      <c r="C149" s="13">
        <f t="shared" si="30"/>
        <v>2024</v>
      </c>
      <c r="D149" s="13">
        <f t="shared" si="31"/>
        <v>6</v>
      </c>
      <c r="E149" s="24">
        <v>17.853000000000002</v>
      </c>
      <c r="F149" s="25">
        <v>53.25</v>
      </c>
      <c r="G149" s="25">
        <v>35.56</v>
      </c>
      <c r="H149" s="25">
        <v>12.34</v>
      </c>
      <c r="I149" s="25">
        <v>252.46</v>
      </c>
      <c r="J149" s="25">
        <v>12.3</v>
      </c>
      <c r="K149" s="25">
        <v>275.95999999999998</v>
      </c>
      <c r="L149" s="25">
        <v>179.34</v>
      </c>
      <c r="M149" s="25">
        <v>174.77</v>
      </c>
      <c r="N149" s="25">
        <v>53485.62</v>
      </c>
      <c r="O149" s="25">
        <v>5291.34</v>
      </c>
      <c r="P149" s="23">
        <f t="shared" si="32"/>
        <v>3.1576908175126039E-2</v>
      </c>
      <c r="Q149" s="23">
        <f t="shared" si="33"/>
        <v>1.3683010262257822E-2</v>
      </c>
      <c r="R149" s="23">
        <f t="shared" si="34"/>
        <v>1.8992568125516085E-2</v>
      </c>
      <c r="S149" s="23">
        <f t="shared" si="35"/>
        <v>2.1691622824767443E-2</v>
      </c>
      <c r="T149" s="23">
        <f t="shared" si="36"/>
        <v>-4.5031055900621175E-2</v>
      </c>
      <c r="U149" s="23">
        <f t="shared" si="37"/>
        <v>-7.2309961506639153E-3</v>
      </c>
      <c r="V149" s="23">
        <f t="shared" si="38"/>
        <v>5.6072670180553619E-3</v>
      </c>
      <c r="W149" s="23">
        <f t="shared" si="39"/>
        <v>-8.6221566736626176E-3</v>
      </c>
      <c r="X149" s="23">
        <f t="shared" si="40"/>
        <v>3.2390452742891762E-2</v>
      </c>
      <c r="Y149" s="23">
        <f t="shared" si="41"/>
        <v>1.5028201536890773E-3</v>
      </c>
    </row>
    <row r="150" spans="1:25" x14ac:dyDescent="0.3">
      <c r="A150" s="2">
        <f t="shared" si="29"/>
        <v>147</v>
      </c>
      <c r="B150" s="3">
        <v>45446</v>
      </c>
      <c r="C150" s="13">
        <f t="shared" si="30"/>
        <v>2024</v>
      </c>
      <c r="D150" s="13">
        <f t="shared" si="31"/>
        <v>6</v>
      </c>
      <c r="E150" s="24">
        <v>17.670999999999999</v>
      </c>
      <c r="F150" s="25">
        <v>51.62</v>
      </c>
      <c r="G150" s="25">
        <v>35.08</v>
      </c>
      <c r="H150" s="25">
        <v>12.11</v>
      </c>
      <c r="I150" s="25">
        <v>247.1</v>
      </c>
      <c r="J150" s="25">
        <v>12.88</v>
      </c>
      <c r="K150" s="25">
        <v>277.97000000000003</v>
      </c>
      <c r="L150" s="25">
        <v>178.34</v>
      </c>
      <c r="M150" s="25">
        <v>176.29</v>
      </c>
      <c r="N150" s="25">
        <v>51807.55</v>
      </c>
      <c r="O150" s="25">
        <v>5283.4</v>
      </c>
      <c r="P150" s="23">
        <f t="shared" si="32"/>
        <v>-6.0600545950864504E-2</v>
      </c>
      <c r="Q150" s="23">
        <f t="shared" si="33"/>
        <v>-7.5869336143308819E-2</v>
      </c>
      <c r="R150" s="23">
        <f t="shared" si="34"/>
        <v>-5.1683633516053318E-2</v>
      </c>
      <c r="S150" s="23">
        <f t="shared" si="35"/>
        <v>-7.9770594369134473E-2</v>
      </c>
      <c r="T150" s="23">
        <f t="shared" si="36"/>
        <v>-5.0147492625368661E-2</v>
      </c>
      <c r="U150" s="23">
        <f t="shared" si="37"/>
        <v>-9.1809063286176218E-2</v>
      </c>
      <c r="V150" s="23">
        <f t="shared" si="38"/>
        <v>1.0768533212423437E-2</v>
      </c>
      <c r="W150" s="23">
        <f t="shared" si="39"/>
        <v>-1.0051662174303755E-2</v>
      </c>
      <c r="X150" s="23">
        <f t="shared" si="40"/>
        <v>-6.1104321117869564E-2</v>
      </c>
      <c r="Y150" s="23">
        <f t="shared" si="41"/>
        <v>1.116056625188655E-3</v>
      </c>
    </row>
    <row r="151" spans="1:25" x14ac:dyDescent="0.3">
      <c r="A151" s="2">
        <f t="shared" si="29"/>
        <v>148</v>
      </c>
      <c r="B151" s="3">
        <v>45443</v>
      </c>
      <c r="C151" s="13">
        <f t="shared" si="30"/>
        <v>2024</v>
      </c>
      <c r="D151" s="13">
        <f t="shared" si="31"/>
        <v>5</v>
      </c>
      <c r="E151" s="24">
        <v>16.992999999999999</v>
      </c>
      <c r="F151" s="25">
        <v>54.95</v>
      </c>
      <c r="G151" s="25">
        <v>37.96</v>
      </c>
      <c r="H151" s="25">
        <v>12.77</v>
      </c>
      <c r="I151" s="25">
        <v>268.52</v>
      </c>
      <c r="J151" s="25">
        <v>13.56</v>
      </c>
      <c r="K151" s="25">
        <v>306.07</v>
      </c>
      <c r="L151" s="25">
        <v>176.44</v>
      </c>
      <c r="M151" s="25">
        <v>178.08</v>
      </c>
      <c r="N151" s="25">
        <v>55179.24</v>
      </c>
      <c r="O151" s="25">
        <v>5277.51</v>
      </c>
      <c r="P151" s="23">
        <f t="shared" si="32"/>
        <v>-3.9876744607576509E-3</v>
      </c>
      <c r="Q151" s="23">
        <f t="shared" si="33"/>
        <v>3.8009297238173367E-2</v>
      </c>
      <c r="R151" s="23">
        <f t="shared" si="34"/>
        <v>-1.8447348193697199E-2</v>
      </c>
      <c r="S151" s="23">
        <f t="shared" si="35"/>
        <v>9.663470577176092E-3</v>
      </c>
      <c r="T151" s="23">
        <f t="shared" si="36"/>
        <v>7.3800738007379074E-4</v>
      </c>
      <c r="U151" s="23">
        <f t="shared" si="37"/>
        <v>7.0742300605421971E-3</v>
      </c>
      <c r="V151" s="23">
        <f t="shared" si="38"/>
        <v>-1.6060673656033919E-2</v>
      </c>
      <c r="W151" s="23">
        <f t="shared" si="39"/>
        <v>-3.9711393254655558E-3</v>
      </c>
      <c r="X151" s="23">
        <f t="shared" si="40"/>
        <v>-3.1312011585371557E-3</v>
      </c>
      <c r="Y151" s="23">
        <f t="shared" si="41"/>
        <v>8.0279172110295782E-3</v>
      </c>
    </row>
    <row r="152" spans="1:25" x14ac:dyDescent="0.3">
      <c r="A152" s="2">
        <f t="shared" si="29"/>
        <v>149</v>
      </c>
      <c r="B152" s="3">
        <v>45442</v>
      </c>
      <c r="C152" s="13">
        <f t="shared" si="30"/>
        <v>2024</v>
      </c>
      <c r="D152" s="13">
        <f t="shared" si="31"/>
        <v>5</v>
      </c>
      <c r="E152" s="24">
        <v>17.0168</v>
      </c>
      <c r="F152" s="25">
        <v>55.17</v>
      </c>
      <c r="G152" s="25">
        <v>36.57</v>
      </c>
      <c r="H152" s="25">
        <v>13.01</v>
      </c>
      <c r="I152" s="25">
        <v>265.95</v>
      </c>
      <c r="J152" s="25">
        <v>13.55</v>
      </c>
      <c r="K152" s="25">
        <v>303.92</v>
      </c>
      <c r="L152" s="25">
        <v>179.32</v>
      </c>
      <c r="M152" s="25">
        <v>178.79</v>
      </c>
      <c r="N152" s="25">
        <v>55352.56</v>
      </c>
      <c r="O152" s="25">
        <v>5235.4799999999996</v>
      </c>
      <c r="P152" s="23">
        <f t="shared" si="32"/>
        <v>-7.2450642999455361E-4</v>
      </c>
      <c r="Q152" s="23">
        <f t="shared" si="33"/>
        <v>4.0990606319385003E-2</v>
      </c>
      <c r="R152" s="23">
        <f t="shared" si="34"/>
        <v>2.0392156862744981E-2</v>
      </c>
      <c r="S152" s="23">
        <f t="shared" si="35"/>
        <v>1.6745039568757836E-2</v>
      </c>
      <c r="T152" s="23">
        <f t="shared" si="36"/>
        <v>0</v>
      </c>
      <c r="U152" s="23">
        <f t="shared" si="37"/>
        <v>9.030544488711989E-3</v>
      </c>
      <c r="V152" s="23">
        <f t="shared" si="38"/>
        <v>-1.4833534776398261E-2</v>
      </c>
      <c r="W152" s="23">
        <f t="shared" si="39"/>
        <v>1.4756796639990855E-2</v>
      </c>
      <c r="X152" s="23">
        <f t="shared" si="40"/>
        <v>2.5342023130934255E-3</v>
      </c>
      <c r="Y152" s="23">
        <f t="shared" si="41"/>
        <v>-5.9749950160910004E-3</v>
      </c>
    </row>
    <row r="153" spans="1:25" x14ac:dyDescent="0.3">
      <c r="A153" s="2">
        <f t="shared" si="29"/>
        <v>150</v>
      </c>
      <c r="B153" s="3">
        <v>45441</v>
      </c>
      <c r="C153" s="13">
        <f t="shared" si="30"/>
        <v>2024</v>
      </c>
      <c r="D153" s="13">
        <f t="shared" si="31"/>
        <v>5</v>
      </c>
      <c r="E153" s="24">
        <v>16.948</v>
      </c>
      <c r="F153" s="25">
        <v>55.21</v>
      </c>
      <c r="G153" s="25">
        <v>35.130000000000003</v>
      </c>
      <c r="H153" s="25">
        <v>12.75</v>
      </c>
      <c r="I153" s="25">
        <v>261.57</v>
      </c>
      <c r="J153" s="25">
        <v>13.55</v>
      </c>
      <c r="K153" s="25">
        <v>301.2</v>
      </c>
      <c r="L153" s="25">
        <v>182.02</v>
      </c>
      <c r="M153" s="25">
        <v>176.19</v>
      </c>
      <c r="N153" s="25">
        <v>55212.639999999999</v>
      </c>
      <c r="O153" s="25">
        <v>5266.95</v>
      </c>
      <c r="P153" s="23">
        <f t="shared" si="32"/>
        <v>3.6238448994385664E-4</v>
      </c>
      <c r="Q153" s="23">
        <f t="shared" si="33"/>
        <v>1.9147084421236027E-2</v>
      </c>
      <c r="R153" s="23">
        <f t="shared" si="34"/>
        <v>7.8492935635798844E-4</v>
      </c>
      <c r="S153" s="23">
        <f t="shared" si="35"/>
        <v>-2.2862266054017755E-2</v>
      </c>
      <c r="T153" s="23">
        <f t="shared" si="36"/>
        <v>6.6864784546805112E-3</v>
      </c>
      <c r="U153" s="23">
        <f t="shared" si="37"/>
        <v>2.4385266809509254E-2</v>
      </c>
      <c r="V153" s="23">
        <f t="shared" si="38"/>
        <v>-7.1369750205874105E-4</v>
      </c>
      <c r="W153" s="23">
        <f t="shared" si="39"/>
        <v>-3.1683168316831711E-3</v>
      </c>
      <c r="X153" s="23">
        <f t="shared" si="40"/>
        <v>5.017672390752459E-4</v>
      </c>
      <c r="Y153" s="23">
        <f t="shared" si="41"/>
        <v>-7.3670760114887823E-3</v>
      </c>
    </row>
    <row r="154" spans="1:25" x14ac:dyDescent="0.3">
      <c r="A154" s="2">
        <f t="shared" si="29"/>
        <v>151</v>
      </c>
      <c r="B154" s="3">
        <v>45440</v>
      </c>
      <c r="C154" s="13">
        <f t="shared" si="30"/>
        <v>2024</v>
      </c>
      <c r="D154" s="13">
        <f t="shared" si="31"/>
        <v>5</v>
      </c>
      <c r="E154" s="24">
        <v>16.779900000000001</v>
      </c>
      <c r="F154" s="25">
        <v>55.19</v>
      </c>
      <c r="G154" s="25">
        <v>34.47</v>
      </c>
      <c r="H154" s="25">
        <v>12.74</v>
      </c>
      <c r="I154" s="25">
        <v>267.69</v>
      </c>
      <c r="J154" s="25">
        <v>13.46</v>
      </c>
      <c r="K154" s="25">
        <v>294.02999999999997</v>
      </c>
      <c r="L154" s="25">
        <v>182.15</v>
      </c>
      <c r="M154" s="25">
        <v>176.75</v>
      </c>
      <c r="N154" s="25">
        <v>55184.95</v>
      </c>
      <c r="O154" s="25">
        <v>5306.04</v>
      </c>
      <c r="P154" s="23">
        <f t="shared" si="32"/>
        <v>-3.6107600649937233E-3</v>
      </c>
      <c r="Q154" s="23">
        <f t="shared" si="33"/>
        <v>1.0850439882697849E-2</v>
      </c>
      <c r="R154" s="23">
        <f t="shared" si="34"/>
        <v>1.5723270440251014E-3</v>
      </c>
      <c r="S154" s="23">
        <f t="shared" si="35"/>
        <v>1.8839917789449601E-2</v>
      </c>
      <c r="T154" s="23">
        <f t="shared" si="36"/>
        <v>8.239700374532033E-3</v>
      </c>
      <c r="U154" s="23">
        <f t="shared" si="37"/>
        <v>-2.7035076108537393E-2</v>
      </c>
      <c r="V154" s="23">
        <f t="shared" si="38"/>
        <v>7.7455048409404981E-3</v>
      </c>
      <c r="W154" s="23">
        <f t="shared" si="39"/>
        <v>-1.3891988395447474E-2</v>
      </c>
      <c r="X154" s="23">
        <f t="shared" si="40"/>
        <v>-4.8316696986703267E-3</v>
      </c>
      <c r="Y154" s="23">
        <f t="shared" si="41"/>
        <v>2.4883499977379486E-4</v>
      </c>
    </row>
    <row r="155" spans="1:25" x14ac:dyDescent="0.3">
      <c r="A155" s="2">
        <f t="shared" si="29"/>
        <v>152</v>
      </c>
      <c r="B155" s="3">
        <v>45439</v>
      </c>
      <c r="C155" s="13">
        <f t="shared" si="30"/>
        <v>2024</v>
      </c>
      <c r="D155" s="13">
        <f t="shared" si="31"/>
        <v>5</v>
      </c>
      <c r="E155" s="24">
        <v>16.645</v>
      </c>
      <c r="F155" s="25">
        <v>55.39</v>
      </c>
      <c r="G155" s="25">
        <v>34.1</v>
      </c>
      <c r="H155" s="25">
        <v>12.72</v>
      </c>
      <c r="I155" s="25">
        <v>262.74</v>
      </c>
      <c r="J155" s="25">
        <v>13.35</v>
      </c>
      <c r="K155" s="25">
        <v>302.2</v>
      </c>
      <c r="L155" s="25">
        <v>180.75</v>
      </c>
      <c r="M155" s="25">
        <v>179.24</v>
      </c>
      <c r="N155" s="25">
        <v>55452.88</v>
      </c>
      <c r="O155" s="25">
        <v>5304.72</v>
      </c>
      <c r="P155" s="23">
        <f t="shared" si="32"/>
        <v>1.8057060310572304E-4</v>
      </c>
      <c r="Q155" s="23">
        <f t="shared" si="33"/>
        <v>-9.2969203951190904E-3</v>
      </c>
      <c r="R155" s="23">
        <f t="shared" si="34"/>
        <v>0</v>
      </c>
      <c r="S155" s="23">
        <f t="shared" si="35"/>
        <v>9.1411891227530795E-3</v>
      </c>
      <c r="T155" s="23">
        <f t="shared" si="36"/>
        <v>1.7530487804878092E-2</v>
      </c>
      <c r="U155" s="23">
        <f t="shared" si="37"/>
        <v>-2.222797424531664E-2</v>
      </c>
      <c r="V155" s="23">
        <f t="shared" si="38"/>
        <v>0</v>
      </c>
      <c r="W155" s="23">
        <f t="shared" si="39"/>
        <v>0</v>
      </c>
      <c r="X155" s="23">
        <f t="shared" si="40"/>
        <v>7.1751960546517779E-4</v>
      </c>
      <c r="Y155" s="23">
        <f t="shared" si="41"/>
        <v>0</v>
      </c>
    </row>
    <row r="156" spans="1:25" x14ac:dyDescent="0.3">
      <c r="A156" s="2">
        <f t="shared" si="29"/>
        <v>153</v>
      </c>
      <c r="B156" s="3">
        <v>45436</v>
      </c>
      <c r="C156" s="13">
        <f t="shared" si="30"/>
        <v>2024</v>
      </c>
      <c r="D156" s="13">
        <f t="shared" si="31"/>
        <v>5</v>
      </c>
      <c r="E156" s="24">
        <v>16.681999999999999</v>
      </c>
      <c r="F156" s="25">
        <v>55.38</v>
      </c>
      <c r="G156" s="25">
        <v>34.42</v>
      </c>
      <c r="H156" s="25">
        <v>12.72</v>
      </c>
      <c r="I156" s="25">
        <v>260.36</v>
      </c>
      <c r="J156" s="25">
        <v>13.12</v>
      </c>
      <c r="K156" s="25">
        <v>309.07</v>
      </c>
      <c r="L156" s="25">
        <v>180.75</v>
      </c>
      <c r="M156" s="25">
        <v>179.24</v>
      </c>
      <c r="N156" s="25">
        <v>55413.120000000003</v>
      </c>
      <c r="O156" s="25">
        <v>5304.72</v>
      </c>
      <c r="P156" s="23">
        <f t="shared" si="32"/>
        <v>-8.4153983885406625E-3</v>
      </c>
      <c r="Q156" s="23">
        <f t="shared" si="33"/>
        <v>-1.0635240011497515E-2</v>
      </c>
      <c r="R156" s="23">
        <f t="shared" si="34"/>
        <v>-7.8554595443836028E-4</v>
      </c>
      <c r="S156" s="23">
        <f t="shared" si="35"/>
        <v>-5.6427354763889381E-2</v>
      </c>
      <c r="T156" s="23">
        <f t="shared" si="36"/>
        <v>-2.5260029717682153E-2</v>
      </c>
      <c r="U156" s="23">
        <f t="shared" si="37"/>
        <v>-1.2398146668796906E-2</v>
      </c>
      <c r="V156" s="23">
        <f t="shared" si="38"/>
        <v>-1.65700082850051E-3</v>
      </c>
      <c r="W156" s="23">
        <f t="shared" si="39"/>
        <v>3.1656498215724582E-2</v>
      </c>
      <c r="X156" s="23">
        <f t="shared" si="40"/>
        <v>-9.0356694882790523E-3</v>
      </c>
      <c r="Y156" s="23">
        <f t="shared" si="41"/>
        <v>7.0009719353663069E-3</v>
      </c>
    </row>
    <row r="157" spans="1:25" x14ac:dyDescent="0.3">
      <c r="A157" s="2">
        <f t="shared" si="29"/>
        <v>154</v>
      </c>
      <c r="B157" s="3">
        <v>45435</v>
      </c>
      <c r="C157" s="13">
        <f t="shared" si="30"/>
        <v>2024</v>
      </c>
      <c r="D157" s="13">
        <f t="shared" si="31"/>
        <v>5</v>
      </c>
      <c r="E157" s="24">
        <v>16.715299999999999</v>
      </c>
      <c r="F157" s="25">
        <v>55.85</v>
      </c>
      <c r="G157" s="25">
        <v>34.79</v>
      </c>
      <c r="H157" s="25">
        <v>12.73</v>
      </c>
      <c r="I157" s="25">
        <v>275.93</v>
      </c>
      <c r="J157" s="25">
        <v>13.46</v>
      </c>
      <c r="K157" s="25">
        <v>312.95</v>
      </c>
      <c r="L157" s="25">
        <v>181.05</v>
      </c>
      <c r="M157" s="25">
        <v>173.74</v>
      </c>
      <c r="N157" s="25">
        <v>55918.38</v>
      </c>
      <c r="O157" s="25">
        <v>5267.84</v>
      </c>
      <c r="P157" s="23">
        <f t="shared" si="32"/>
        <v>-8.8731144631766234E-3</v>
      </c>
      <c r="Q157" s="23">
        <f t="shared" si="33"/>
        <v>-1.4168319637291038E-2</v>
      </c>
      <c r="R157" s="23">
        <f t="shared" si="34"/>
        <v>5.5292259083727924E-3</v>
      </c>
      <c r="S157" s="23">
        <f t="shared" si="35"/>
        <v>9.5492463046977782E-3</v>
      </c>
      <c r="T157" s="23">
        <f t="shared" si="36"/>
        <v>-4.1992882562277623E-2</v>
      </c>
      <c r="U157" s="23">
        <f t="shared" si="37"/>
        <v>2.7877467316073101E-3</v>
      </c>
      <c r="V157" s="23">
        <f t="shared" si="38"/>
        <v>-1.1358051657292534E-2</v>
      </c>
      <c r="W157" s="23">
        <f t="shared" si="39"/>
        <v>-3.5367275553828237E-2</v>
      </c>
      <c r="X157" s="23">
        <f t="shared" si="40"/>
        <v>-9.1021003497482322E-3</v>
      </c>
      <c r="Y157" s="23">
        <f t="shared" si="41"/>
        <v>-7.3808038801509435E-3</v>
      </c>
    </row>
    <row r="158" spans="1:25" x14ac:dyDescent="0.3">
      <c r="A158" s="2">
        <f t="shared" si="29"/>
        <v>155</v>
      </c>
      <c r="B158" s="3">
        <v>45434</v>
      </c>
      <c r="C158" s="13">
        <f t="shared" si="30"/>
        <v>2024</v>
      </c>
      <c r="D158" s="13">
        <f t="shared" si="31"/>
        <v>5</v>
      </c>
      <c r="E158" s="24">
        <v>16.66</v>
      </c>
      <c r="F158" s="25">
        <v>56.35</v>
      </c>
      <c r="G158" s="25">
        <v>35.29</v>
      </c>
      <c r="H158" s="25">
        <v>12.66</v>
      </c>
      <c r="I158" s="25">
        <v>273.32</v>
      </c>
      <c r="J158" s="25">
        <v>14.05</v>
      </c>
      <c r="K158" s="25">
        <v>312.08</v>
      </c>
      <c r="L158" s="25">
        <v>183.13</v>
      </c>
      <c r="M158" s="25">
        <v>180.11</v>
      </c>
      <c r="N158" s="25">
        <v>56432.03</v>
      </c>
      <c r="O158" s="25">
        <v>5307.01</v>
      </c>
      <c r="P158" s="23">
        <f t="shared" si="32"/>
        <v>-5.1200564971751739E-3</v>
      </c>
      <c r="Q158" s="23">
        <f t="shared" si="33"/>
        <v>-3.1073446327682941E-3</v>
      </c>
      <c r="R158" s="23">
        <f t="shared" si="34"/>
        <v>-1.8604651162790753E-2</v>
      </c>
      <c r="S158" s="23">
        <f t="shared" si="35"/>
        <v>3.8805062521378719E-2</v>
      </c>
      <c r="T158" s="23">
        <f t="shared" si="36"/>
        <v>2.1818181818181959E-2</v>
      </c>
      <c r="U158" s="23">
        <f t="shared" si="37"/>
        <v>3.8923022485282122E-3</v>
      </c>
      <c r="V158" s="23">
        <f t="shared" si="38"/>
        <v>-1.0920010920012491E-4</v>
      </c>
      <c r="W158" s="23">
        <f t="shared" si="39"/>
        <v>-3.478027867095379E-2</v>
      </c>
      <c r="X158" s="23">
        <f t="shared" si="40"/>
        <v>-5.7908003985855938E-3</v>
      </c>
      <c r="Y158" s="23">
        <f t="shared" si="41"/>
        <v>-2.7060497123881921E-3</v>
      </c>
    </row>
    <row r="159" spans="1:25" x14ac:dyDescent="0.3">
      <c r="A159" s="2">
        <f t="shared" si="29"/>
        <v>156</v>
      </c>
      <c r="B159" s="3">
        <v>45433</v>
      </c>
      <c r="C159" s="13">
        <f t="shared" si="30"/>
        <v>2024</v>
      </c>
      <c r="D159" s="13">
        <f t="shared" si="31"/>
        <v>5</v>
      </c>
      <c r="E159" s="24">
        <v>16.62</v>
      </c>
      <c r="F159" s="25">
        <v>56.64</v>
      </c>
      <c r="G159" s="25">
        <v>35.4</v>
      </c>
      <c r="H159" s="25">
        <v>12.9</v>
      </c>
      <c r="I159" s="25">
        <v>263.11</v>
      </c>
      <c r="J159" s="25">
        <v>13.75</v>
      </c>
      <c r="K159" s="25">
        <v>310.87</v>
      </c>
      <c r="L159" s="25">
        <v>183.15</v>
      </c>
      <c r="M159" s="25">
        <v>186.6</v>
      </c>
      <c r="N159" s="25">
        <v>56760.72</v>
      </c>
      <c r="O159" s="25">
        <v>5321.41</v>
      </c>
      <c r="P159" s="23">
        <f t="shared" si="32"/>
        <v>-9.6170659206153974E-3</v>
      </c>
      <c r="Q159" s="23">
        <f t="shared" si="33"/>
        <v>-2.3178807947019986E-2</v>
      </c>
      <c r="R159" s="23">
        <f t="shared" si="34"/>
        <v>-7.692307692307665E-3</v>
      </c>
      <c r="S159" s="23">
        <f t="shared" si="35"/>
        <v>-1.7989773448288671E-2</v>
      </c>
      <c r="T159" s="23">
        <f t="shared" si="36"/>
        <v>-2.758132956152759E-2</v>
      </c>
      <c r="U159" s="23">
        <f t="shared" si="37"/>
        <v>-5.3433160555449444E-3</v>
      </c>
      <c r="V159" s="23">
        <f t="shared" si="38"/>
        <v>-2.1248774109184909E-3</v>
      </c>
      <c r="W159" s="23">
        <f t="shared" si="39"/>
        <v>6.659045441554734E-2</v>
      </c>
      <c r="X159" s="23">
        <f t="shared" si="40"/>
        <v>-1.1021499381112188E-2</v>
      </c>
      <c r="Y159" s="23">
        <f t="shared" si="41"/>
        <v>2.5018226757822504E-3</v>
      </c>
    </row>
    <row r="160" spans="1:25" x14ac:dyDescent="0.3">
      <c r="A160" s="2">
        <f t="shared" si="29"/>
        <v>157</v>
      </c>
      <c r="B160" s="3">
        <v>45432</v>
      </c>
      <c r="C160" s="13">
        <f t="shared" si="30"/>
        <v>2024</v>
      </c>
      <c r="D160" s="13">
        <f t="shared" si="31"/>
        <v>5</v>
      </c>
      <c r="E160" s="24">
        <v>16.553599999999999</v>
      </c>
      <c r="F160" s="25">
        <v>57.19</v>
      </c>
      <c r="G160" s="25">
        <v>36.24</v>
      </c>
      <c r="H160" s="25">
        <v>13</v>
      </c>
      <c r="I160" s="25">
        <v>267.93</v>
      </c>
      <c r="J160" s="25">
        <v>14.14</v>
      </c>
      <c r="K160" s="25">
        <v>312.54000000000002</v>
      </c>
      <c r="L160" s="25">
        <v>183.54</v>
      </c>
      <c r="M160" s="25">
        <v>174.95</v>
      </c>
      <c r="N160" s="25">
        <v>57393.279999999999</v>
      </c>
      <c r="O160" s="25">
        <v>5308.13</v>
      </c>
      <c r="P160" s="23">
        <f t="shared" si="32"/>
        <v>-3.3112582781458233E-3</v>
      </c>
      <c r="Q160" s="23">
        <f t="shared" si="33"/>
        <v>-5.2154817458138769E-3</v>
      </c>
      <c r="R160" s="23">
        <f t="shared" si="34"/>
        <v>6.9713400464754827E-3</v>
      </c>
      <c r="S160" s="23">
        <f t="shared" si="35"/>
        <v>-1.8894869823135152E-2</v>
      </c>
      <c r="T160" s="23">
        <f t="shared" si="36"/>
        <v>-2.9512697323267001E-2</v>
      </c>
      <c r="U160" s="23">
        <f t="shared" si="37"/>
        <v>1.3062785647142805E-2</v>
      </c>
      <c r="V160" s="23">
        <f t="shared" si="38"/>
        <v>-6.2804547915538134E-3</v>
      </c>
      <c r="W160" s="23">
        <f t="shared" si="39"/>
        <v>-1.4144032458018763E-2</v>
      </c>
      <c r="X160" s="23">
        <f t="shared" si="40"/>
        <v>-3.2961071203555514E-3</v>
      </c>
      <c r="Y160" s="23">
        <f t="shared" si="41"/>
        <v>9.1641572086653689E-4</v>
      </c>
    </row>
    <row r="161" spans="1:25" x14ac:dyDescent="0.3">
      <c r="A161" s="2">
        <f t="shared" si="29"/>
        <v>158</v>
      </c>
      <c r="B161" s="3">
        <v>45429</v>
      </c>
      <c r="C161" s="13">
        <f t="shared" si="30"/>
        <v>2024</v>
      </c>
      <c r="D161" s="13">
        <f t="shared" si="31"/>
        <v>5</v>
      </c>
      <c r="E161" s="24">
        <v>16.59</v>
      </c>
      <c r="F161" s="25">
        <v>57.38</v>
      </c>
      <c r="G161" s="25">
        <v>36.43</v>
      </c>
      <c r="H161" s="25">
        <v>12.91</v>
      </c>
      <c r="I161" s="25">
        <v>273.08999999999997</v>
      </c>
      <c r="J161" s="25">
        <v>14.57</v>
      </c>
      <c r="K161" s="25">
        <v>308.51</v>
      </c>
      <c r="L161" s="25">
        <v>184.7</v>
      </c>
      <c r="M161" s="25">
        <v>177.46</v>
      </c>
      <c r="N161" s="25">
        <v>57583.08</v>
      </c>
      <c r="O161" s="25">
        <v>5303.27</v>
      </c>
      <c r="P161" s="23">
        <f t="shared" si="32"/>
        <v>1.7458100558660483E-3</v>
      </c>
      <c r="Q161" s="23">
        <f t="shared" si="33"/>
        <v>-7.6273494960501509E-3</v>
      </c>
      <c r="R161" s="23">
        <f t="shared" si="34"/>
        <v>-1.072796934865905E-2</v>
      </c>
      <c r="S161" s="23">
        <f t="shared" si="35"/>
        <v>9.2097896504838683E-2</v>
      </c>
      <c r="T161" s="23">
        <f t="shared" si="36"/>
        <v>2.3174157303370801E-2</v>
      </c>
      <c r="U161" s="23">
        <f t="shared" si="37"/>
        <v>-7.3680823680823959E-3</v>
      </c>
      <c r="V161" s="23">
        <f t="shared" si="38"/>
        <v>5.8269345967434383E-3</v>
      </c>
      <c r="W161" s="23">
        <f t="shared" si="39"/>
        <v>1.4985129261038788E-2</v>
      </c>
      <c r="X161" s="23">
        <f t="shared" si="40"/>
        <v>2.1041669675894159E-3</v>
      </c>
      <c r="Y161" s="23">
        <f t="shared" si="41"/>
        <v>1.1647882803798026E-3</v>
      </c>
    </row>
    <row r="162" spans="1:25" x14ac:dyDescent="0.3">
      <c r="A162" s="2">
        <f t="shared" si="29"/>
        <v>159</v>
      </c>
      <c r="B162" s="3">
        <v>45428</v>
      </c>
      <c r="C162" s="13">
        <f t="shared" si="30"/>
        <v>2024</v>
      </c>
      <c r="D162" s="13">
        <f t="shared" si="31"/>
        <v>5</v>
      </c>
      <c r="E162" s="24">
        <v>16.670000000000002</v>
      </c>
      <c r="F162" s="25">
        <v>57.28</v>
      </c>
      <c r="G162" s="25">
        <v>36.71</v>
      </c>
      <c r="H162" s="25">
        <v>13.05</v>
      </c>
      <c r="I162" s="25">
        <v>250.06</v>
      </c>
      <c r="J162" s="25">
        <v>14.24</v>
      </c>
      <c r="K162" s="25">
        <v>310.8</v>
      </c>
      <c r="L162" s="25">
        <v>183.63</v>
      </c>
      <c r="M162" s="25">
        <v>174.84</v>
      </c>
      <c r="N162" s="25">
        <v>57462.17</v>
      </c>
      <c r="O162" s="25">
        <v>5297.1</v>
      </c>
      <c r="P162" s="23">
        <f t="shared" si="32"/>
        <v>0</v>
      </c>
      <c r="Q162" s="23">
        <f t="shared" si="33"/>
        <v>-1.370231058570659E-2</v>
      </c>
      <c r="R162" s="23">
        <f t="shared" si="34"/>
        <v>-9.8634294385431254E-3</v>
      </c>
      <c r="S162" s="23">
        <f t="shared" si="35"/>
        <v>-1.7291519295763558E-2</v>
      </c>
      <c r="T162" s="23">
        <f t="shared" si="36"/>
        <v>-2.2649279341111828E-2</v>
      </c>
      <c r="U162" s="23">
        <f t="shared" si="37"/>
        <v>1.7182130584192379E-2</v>
      </c>
      <c r="V162" s="23">
        <f t="shared" si="38"/>
        <v>-1.26888542394753E-2</v>
      </c>
      <c r="W162" s="23">
        <f t="shared" si="39"/>
        <v>4.8853382378297727E-3</v>
      </c>
      <c r="X162" s="23">
        <f t="shared" si="40"/>
        <v>1.3088583778686491E-4</v>
      </c>
      <c r="Y162" s="23">
        <f t="shared" si="41"/>
        <v>-2.0817045486656305E-3</v>
      </c>
    </row>
    <row r="163" spans="1:25" x14ac:dyDescent="0.3">
      <c r="A163" s="2">
        <f t="shared" si="29"/>
        <v>160</v>
      </c>
      <c r="B163" s="3">
        <v>45427</v>
      </c>
      <c r="C163" s="13">
        <f t="shared" si="30"/>
        <v>2024</v>
      </c>
      <c r="D163" s="13">
        <f t="shared" si="31"/>
        <v>5</v>
      </c>
      <c r="E163" s="24">
        <v>16.6799</v>
      </c>
      <c r="F163" s="25">
        <v>57.28</v>
      </c>
      <c r="G163" s="25">
        <v>37.22</v>
      </c>
      <c r="H163" s="25">
        <v>13.18</v>
      </c>
      <c r="I163" s="25">
        <v>254.46</v>
      </c>
      <c r="J163" s="25">
        <v>14.57</v>
      </c>
      <c r="K163" s="25">
        <v>305.55</v>
      </c>
      <c r="L163" s="25">
        <v>185.99</v>
      </c>
      <c r="M163" s="25">
        <v>173.99</v>
      </c>
      <c r="N163" s="25">
        <v>57454.65</v>
      </c>
      <c r="O163" s="25">
        <v>5308.15</v>
      </c>
      <c r="P163" s="23">
        <f t="shared" si="32"/>
        <v>4.2075736325386526E-3</v>
      </c>
      <c r="Q163" s="23">
        <f t="shared" si="33"/>
        <v>-2.6795284030011191E-3</v>
      </c>
      <c r="R163" s="23">
        <f t="shared" si="34"/>
        <v>-4.5317220543806824E-3</v>
      </c>
      <c r="S163" s="23">
        <f t="shared" si="35"/>
        <v>1.6579441492549307E-2</v>
      </c>
      <c r="T163" s="23">
        <f t="shared" si="36"/>
        <v>-1.2203389830508504E-2</v>
      </c>
      <c r="U163" s="23">
        <f t="shared" si="37"/>
        <v>8.4824080797412105E-3</v>
      </c>
      <c r="V163" s="23">
        <f t="shared" si="38"/>
        <v>-5.7732399636498677E-3</v>
      </c>
      <c r="W163" s="23">
        <f t="shared" si="39"/>
        <v>-2.0050689946493949E-2</v>
      </c>
      <c r="X163" s="23">
        <f t="shared" si="40"/>
        <v>3.8948667295455319E-3</v>
      </c>
      <c r="Y163" s="23">
        <f t="shared" si="41"/>
        <v>1.1715980391409309E-2</v>
      </c>
    </row>
    <row r="164" spans="1:25" x14ac:dyDescent="0.3">
      <c r="A164" s="2">
        <f t="shared" si="29"/>
        <v>161</v>
      </c>
      <c r="B164" s="3">
        <v>45426</v>
      </c>
      <c r="C164" s="13">
        <f t="shared" si="30"/>
        <v>2024</v>
      </c>
      <c r="D164" s="13">
        <f t="shared" si="31"/>
        <v>5</v>
      </c>
      <c r="E164" s="24">
        <v>16.832999999999998</v>
      </c>
      <c r="F164" s="25">
        <v>57.04</v>
      </c>
      <c r="G164" s="25">
        <v>37.32</v>
      </c>
      <c r="H164" s="25">
        <v>13.24</v>
      </c>
      <c r="I164" s="25">
        <v>250.31</v>
      </c>
      <c r="J164" s="25">
        <v>14.75</v>
      </c>
      <c r="K164" s="25">
        <v>302.98</v>
      </c>
      <c r="L164" s="25">
        <v>187.07</v>
      </c>
      <c r="M164" s="25">
        <v>177.55</v>
      </c>
      <c r="N164" s="25">
        <v>57231.74</v>
      </c>
      <c r="O164" s="25">
        <v>5246.68</v>
      </c>
      <c r="P164" s="23">
        <f t="shared" si="32"/>
        <v>-8.6896072297532045E-3</v>
      </c>
      <c r="Q164" s="23">
        <f t="shared" si="33"/>
        <v>-1.4783526927138357E-2</v>
      </c>
      <c r="R164" s="23">
        <f t="shared" si="34"/>
        <v>-8.9820359281436168E-3</v>
      </c>
      <c r="S164" s="23">
        <f t="shared" si="35"/>
        <v>-5.0085463290534538E-3</v>
      </c>
      <c r="T164" s="23">
        <f t="shared" si="36"/>
        <v>2.8591352859135277E-2</v>
      </c>
      <c r="U164" s="23">
        <f t="shared" si="37"/>
        <v>-4.6186328846653524E-4</v>
      </c>
      <c r="V164" s="23">
        <f t="shared" si="38"/>
        <v>2.6799592646191694E-3</v>
      </c>
      <c r="W164" s="23">
        <f t="shared" si="39"/>
        <v>3.2928035371458719E-2</v>
      </c>
      <c r="X164" s="23">
        <f t="shared" si="40"/>
        <v>-8.6501006736056096E-3</v>
      </c>
      <c r="Y164" s="23">
        <f t="shared" si="41"/>
        <v>4.8377644395585229E-3</v>
      </c>
    </row>
    <row r="165" spans="1:25" x14ac:dyDescent="0.3">
      <c r="A165" s="2">
        <f t="shared" si="29"/>
        <v>162</v>
      </c>
      <c r="B165" s="3">
        <v>45425</v>
      </c>
      <c r="C165" s="13">
        <f t="shared" si="30"/>
        <v>2024</v>
      </c>
      <c r="D165" s="13">
        <f t="shared" si="31"/>
        <v>5</v>
      </c>
      <c r="E165" s="24">
        <v>16.799099999999999</v>
      </c>
      <c r="F165" s="25">
        <v>57.54</v>
      </c>
      <c r="G165" s="25">
        <v>37.880000000000003</v>
      </c>
      <c r="H165" s="25">
        <v>13.36</v>
      </c>
      <c r="I165" s="25">
        <v>251.57</v>
      </c>
      <c r="J165" s="25">
        <v>14.34</v>
      </c>
      <c r="K165" s="25">
        <v>303.12</v>
      </c>
      <c r="L165" s="25">
        <v>186.57</v>
      </c>
      <c r="M165" s="25">
        <v>171.89</v>
      </c>
      <c r="N165" s="25">
        <v>57731.12</v>
      </c>
      <c r="O165" s="25">
        <v>5221.42</v>
      </c>
      <c r="P165" s="23">
        <f t="shared" si="32"/>
        <v>1.7382235355456466E-4</v>
      </c>
      <c r="Q165" s="23">
        <f t="shared" si="33"/>
        <v>2.9123643102990648E-3</v>
      </c>
      <c r="R165" s="23">
        <f t="shared" si="34"/>
        <v>5.2671181339352113E-3</v>
      </c>
      <c r="S165" s="23">
        <f t="shared" si="35"/>
        <v>-8.3406148224640653E-4</v>
      </c>
      <c r="T165" s="23">
        <f t="shared" si="36"/>
        <v>-9.6685082872928207E-3</v>
      </c>
      <c r="U165" s="23">
        <f t="shared" si="37"/>
        <v>5.2064334272923229E-3</v>
      </c>
      <c r="V165" s="23">
        <f t="shared" si="38"/>
        <v>-4.8538510774482901E-3</v>
      </c>
      <c r="W165" s="23">
        <f t="shared" si="39"/>
        <v>2.0300350210719964E-2</v>
      </c>
      <c r="X165" s="23">
        <f t="shared" si="40"/>
        <v>2.2661892191777611E-4</v>
      </c>
      <c r="Y165" s="23">
        <f t="shared" si="41"/>
        <v>-2.4125544739483917E-4</v>
      </c>
    </row>
    <row r="166" spans="1:25" x14ac:dyDescent="0.3">
      <c r="A166" s="2">
        <f t="shared" si="29"/>
        <v>163</v>
      </c>
      <c r="B166" s="3">
        <v>45422</v>
      </c>
      <c r="C166" s="13">
        <f t="shared" si="30"/>
        <v>2024</v>
      </c>
      <c r="D166" s="13">
        <f t="shared" si="31"/>
        <v>5</v>
      </c>
      <c r="E166" s="24">
        <v>16.75</v>
      </c>
      <c r="F166" s="25">
        <v>57.53</v>
      </c>
      <c r="G166" s="25">
        <v>37.770000000000003</v>
      </c>
      <c r="H166" s="25">
        <v>13.29</v>
      </c>
      <c r="I166" s="25">
        <v>251.78</v>
      </c>
      <c r="J166" s="25">
        <v>14.48</v>
      </c>
      <c r="K166" s="25">
        <v>301.55</v>
      </c>
      <c r="L166" s="25">
        <v>187.48</v>
      </c>
      <c r="M166" s="25">
        <v>168.47</v>
      </c>
      <c r="N166" s="25">
        <v>57718.04</v>
      </c>
      <c r="O166" s="25">
        <v>5222.68</v>
      </c>
      <c r="P166" s="23">
        <f t="shared" si="32"/>
        <v>-1.9083969465648609E-3</v>
      </c>
      <c r="Q166" s="23">
        <f t="shared" si="33"/>
        <v>-4.7430830039525418E-3</v>
      </c>
      <c r="R166" s="23">
        <f t="shared" si="34"/>
        <v>4.5351473922901064E-3</v>
      </c>
      <c r="S166" s="23">
        <f t="shared" si="35"/>
        <v>-6.157732691244977E-3</v>
      </c>
      <c r="T166" s="23">
        <f t="shared" si="36"/>
        <v>1.9718309859154903E-2</v>
      </c>
      <c r="U166" s="23">
        <f t="shared" si="37"/>
        <v>-1.7304308153555326E-2</v>
      </c>
      <c r="V166" s="23">
        <f t="shared" si="38"/>
        <v>-1.065963060686026E-2</v>
      </c>
      <c r="W166" s="23">
        <f t="shared" si="39"/>
        <v>-2.0352387044251907E-2</v>
      </c>
      <c r="X166" s="23">
        <f t="shared" si="40"/>
        <v>-2.2134602725024655E-3</v>
      </c>
      <c r="Y166" s="23">
        <f t="shared" si="41"/>
        <v>1.6493801399288799E-3</v>
      </c>
    </row>
    <row r="167" spans="1:25" x14ac:dyDescent="0.3">
      <c r="A167" s="2">
        <f t="shared" si="29"/>
        <v>164</v>
      </c>
      <c r="B167" s="3">
        <v>45421</v>
      </c>
      <c r="C167" s="13">
        <f t="shared" si="30"/>
        <v>2024</v>
      </c>
      <c r="D167" s="13">
        <f t="shared" si="31"/>
        <v>5</v>
      </c>
      <c r="E167" s="24">
        <v>16.751000000000001</v>
      </c>
      <c r="F167" s="25">
        <v>57.64</v>
      </c>
      <c r="G167" s="25">
        <v>37.950000000000003</v>
      </c>
      <c r="H167" s="25">
        <v>13.23</v>
      </c>
      <c r="I167" s="25">
        <v>253.34</v>
      </c>
      <c r="J167" s="25">
        <v>14.2</v>
      </c>
      <c r="K167" s="25">
        <v>306.86</v>
      </c>
      <c r="L167" s="25">
        <v>189.5</v>
      </c>
      <c r="M167" s="25">
        <v>171.97</v>
      </c>
      <c r="N167" s="25">
        <v>57846.080000000002</v>
      </c>
      <c r="O167" s="25">
        <v>5214.08</v>
      </c>
      <c r="P167" s="23">
        <f t="shared" si="32"/>
        <v>1.4253035368643419E-2</v>
      </c>
      <c r="Q167" s="23">
        <f t="shared" si="33"/>
        <v>1.0383386581469756E-2</v>
      </c>
      <c r="R167" s="23">
        <f t="shared" si="34"/>
        <v>9.1533180778031742E-3</v>
      </c>
      <c r="S167" s="23">
        <f t="shared" si="35"/>
        <v>-5.7299843014129159E-3</v>
      </c>
      <c r="T167" s="23">
        <f t="shared" si="36"/>
        <v>3.5335689045936647E-3</v>
      </c>
      <c r="U167" s="23">
        <f t="shared" si="37"/>
        <v>1.8926816310266936E-2</v>
      </c>
      <c r="V167" s="23">
        <f t="shared" si="38"/>
        <v>7.9787234042554278E-3</v>
      </c>
      <c r="W167" s="23">
        <f t="shared" si="39"/>
        <v>-1.5739468864468864E-2</v>
      </c>
      <c r="X167" s="23">
        <f t="shared" si="40"/>
        <v>1.340340919044869E-2</v>
      </c>
      <c r="Y167" s="23">
        <f t="shared" si="41"/>
        <v>5.0909175024624886E-3</v>
      </c>
    </row>
    <row r="168" spans="1:25" x14ac:dyDescent="0.3">
      <c r="A168" s="2">
        <f t="shared" si="29"/>
        <v>165</v>
      </c>
      <c r="B168" s="3">
        <v>45420</v>
      </c>
      <c r="C168" s="13">
        <f t="shared" si="30"/>
        <v>2024</v>
      </c>
      <c r="D168" s="13">
        <f t="shared" si="31"/>
        <v>5</v>
      </c>
      <c r="E168" s="24">
        <v>16.895</v>
      </c>
      <c r="F168" s="25">
        <v>56.83</v>
      </c>
      <c r="G168" s="25">
        <v>37.56</v>
      </c>
      <c r="H168" s="25">
        <v>13.11</v>
      </c>
      <c r="I168" s="25">
        <v>254.8</v>
      </c>
      <c r="J168" s="25">
        <v>14.15</v>
      </c>
      <c r="K168" s="25">
        <v>301.16000000000003</v>
      </c>
      <c r="L168" s="25">
        <v>188</v>
      </c>
      <c r="M168" s="25">
        <v>174.72</v>
      </c>
      <c r="N168" s="25">
        <v>57081</v>
      </c>
      <c r="O168" s="25">
        <v>5187.67</v>
      </c>
      <c r="P168" s="23">
        <f t="shared" si="32"/>
        <v>0</v>
      </c>
      <c r="Q168" s="23">
        <f t="shared" si="33"/>
        <v>1.6508795669823995E-2</v>
      </c>
      <c r="R168" s="23">
        <f t="shared" si="34"/>
        <v>-6.0652009097801329E-3</v>
      </c>
      <c r="S168" s="23">
        <f t="shared" si="35"/>
        <v>1.5584519111961459E-2</v>
      </c>
      <c r="T168" s="23">
        <f t="shared" si="36"/>
        <v>-7.0621468926557185E-4</v>
      </c>
      <c r="U168" s="23">
        <f t="shared" si="37"/>
        <v>2.6300895562141324E-3</v>
      </c>
      <c r="V168" s="23">
        <f t="shared" si="38"/>
        <v>-4.0262767535493849E-3</v>
      </c>
      <c r="W168" s="23">
        <f t="shared" si="39"/>
        <v>-1.737810021933528E-2</v>
      </c>
      <c r="X168" s="23">
        <f t="shared" si="40"/>
        <v>-4.783891383952632E-4</v>
      </c>
      <c r="Y168" s="23">
        <f t="shared" si="41"/>
        <v>-5.7829095745365322E-6</v>
      </c>
    </row>
    <row r="169" spans="1:25" x14ac:dyDescent="0.3">
      <c r="A169" s="2">
        <f t="shared" si="29"/>
        <v>166</v>
      </c>
      <c r="B169" s="3">
        <v>45419</v>
      </c>
      <c r="C169" s="13">
        <f t="shared" si="30"/>
        <v>2024</v>
      </c>
      <c r="D169" s="13">
        <f t="shared" si="31"/>
        <v>5</v>
      </c>
      <c r="E169" s="24">
        <v>16.876000000000001</v>
      </c>
      <c r="F169" s="25">
        <v>56.83</v>
      </c>
      <c r="G169" s="25">
        <v>36.950000000000003</v>
      </c>
      <c r="H169" s="25">
        <v>13.19</v>
      </c>
      <c r="I169" s="25">
        <v>250.89</v>
      </c>
      <c r="J169" s="25">
        <v>14.16</v>
      </c>
      <c r="K169" s="25">
        <v>300.37</v>
      </c>
      <c r="L169" s="25">
        <v>188.76</v>
      </c>
      <c r="M169" s="25">
        <v>177.81</v>
      </c>
      <c r="N169" s="25">
        <v>57108.32</v>
      </c>
      <c r="O169" s="25">
        <v>5187.7</v>
      </c>
      <c r="P169" s="23">
        <f t="shared" si="32"/>
        <v>-1.7565431231336692E-3</v>
      </c>
      <c r="Q169" s="23">
        <f t="shared" si="33"/>
        <v>3.2582134129786056E-3</v>
      </c>
      <c r="R169" s="23">
        <f t="shared" si="34"/>
        <v>-1.5671641791044855E-2</v>
      </c>
      <c r="S169" s="23">
        <f t="shared" si="35"/>
        <v>2.7978736160516604E-3</v>
      </c>
      <c r="T169" s="23">
        <f t="shared" si="36"/>
        <v>-1.4104372355430161E-3</v>
      </c>
      <c r="U169" s="23">
        <f t="shared" si="37"/>
        <v>3.5414787344225651E-3</v>
      </c>
      <c r="V169" s="23">
        <f t="shared" si="38"/>
        <v>3.1796502384739966E-4</v>
      </c>
      <c r="W169" s="23">
        <f t="shared" si="39"/>
        <v>-3.7616367179043042E-2</v>
      </c>
      <c r="X169" s="23">
        <f t="shared" si="40"/>
        <v>-3.048551095919394E-3</v>
      </c>
      <c r="Y169" s="23">
        <f t="shared" si="41"/>
        <v>1.3434374239973401E-3</v>
      </c>
    </row>
    <row r="170" spans="1:25" x14ac:dyDescent="0.3">
      <c r="A170" s="2">
        <f t="shared" si="29"/>
        <v>167</v>
      </c>
      <c r="B170" s="3">
        <v>45418</v>
      </c>
      <c r="C170" s="13">
        <f t="shared" si="30"/>
        <v>2024</v>
      </c>
      <c r="D170" s="13">
        <f t="shared" si="31"/>
        <v>5</v>
      </c>
      <c r="E170" s="24">
        <v>16.86</v>
      </c>
      <c r="F170" s="25">
        <v>56.93</v>
      </c>
      <c r="G170" s="25">
        <v>36.83</v>
      </c>
      <c r="H170" s="25">
        <v>13.4</v>
      </c>
      <c r="I170" s="25">
        <v>250.19</v>
      </c>
      <c r="J170" s="25">
        <v>14.18</v>
      </c>
      <c r="K170" s="25">
        <v>299.31</v>
      </c>
      <c r="L170" s="25">
        <v>188.7</v>
      </c>
      <c r="M170" s="25">
        <v>184.76</v>
      </c>
      <c r="N170" s="25">
        <v>57282.95</v>
      </c>
      <c r="O170" s="25">
        <v>5180.74</v>
      </c>
      <c r="P170" s="23">
        <f t="shared" si="32"/>
        <v>1.583391977480586E-3</v>
      </c>
      <c r="Q170" s="23">
        <f t="shared" si="33"/>
        <v>4.6372067648663418E-3</v>
      </c>
      <c r="R170" s="23">
        <f t="shared" si="34"/>
        <v>-1.6874541452677971E-2</v>
      </c>
      <c r="S170" s="23">
        <f t="shared" si="35"/>
        <v>-1.4689666036546867E-2</v>
      </c>
      <c r="T170" s="23">
        <f t="shared" si="36"/>
        <v>-1.4593467685893091E-2</v>
      </c>
      <c r="U170" s="23">
        <f t="shared" si="37"/>
        <v>-1.4678899082568586E-3</v>
      </c>
      <c r="V170" s="23">
        <f t="shared" si="38"/>
        <v>1.33719993555661E-2</v>
      </c>
      <c r="W170" s="23">
        <f t="shared" si="39"/>
        <v>1.9703074121088404E-2</v>
      </c>
      <c r="X170" s="23">
        <f t="shared" si="40"/>
        <v>2.5849186649364864E-3</v>
      </c>
      <c r="Y170" s="23">
        <f t="shared" si="41"/>
        <v>1.0326085896653403E-2</v>
      </c>
    </row>
    <row r="171" spans="1:25" x14ac:dyDescent="0.3">
      <c r="A171" s="2">
        <f t="shared" si="29"/>
        <v>168</v>
      </c>
      <c r="B171" s="3">
        <v>45415</v>
      </c>
      <c r="C171" s="13">
        <f t="shared" si="30"/>
        <v>2024</v>
      </c>
      <c r="D171" s="13">
        <f t="shared" si="31"/>
        <v>5</v>
      </c>
      <c r="E171" s="24">
        <v>16.96</v>
      </c>
      <c r="F171" s="25">
        <v>56.84</v>
      </c>
      <c r="G171" s="25">
        <v>36.659999999999997</v>
      </c>
      <c r="H171" s="25">
        <v>13.63</v>
      </c>
      <c r="I171" s="25">
        <v>253.92</v>
      </c>
      <c r="J171" s="25">
        <v>14.39</v>
      </c>
      <c r="K171" s="25">
        <v>299.75</v>
      </c>
      <c r="L171" s="25">
        <v>186.21</v>
      </c>
      <c r="M171" s="25">
        <v>181.19</v>
      </c>
      <c r="N171" s="25">
        <v>57135.26</v>
      </c>
      <c r="O171" s="25">
        <v>5127.79</v>
      </c>
      <c r="P171" s="23">
        <f t="shared" si="32"/>
        <v>7.2656388445861975E-3</v>
      </c>
      <c r="Q171" s="23">
        <f t="shared" si="33"/>
        <v>4.9342105263157077E-3</v>
      </c>
      <c r="R171" s="23">
        <f t="shared" si="34"/>
        <v>2.4042073628850469E-2</v>
      </c>
      <c r="S171" s="23">
        <f t="shared" si="35"/>
        <v>1.7266936420816448E-2</v>
      </c>
      <c r="T171" s="23">
        <f t="shared" si="36"/>
        <v>6.2937062937062915E-3</v>
      </c>
      <c r="U171" s="23">
        <f t="shared" si="37"/>
        <v>2.1731862253426826E-3</v>
      </c>
      <c r="V171" s="23">
        <f t="shared" si="38"/>
        <v>8.0662624512777281E-3</v>
      </c>
      <c r="W171" s="23">
        <f t="shared" si="39"/>
        <v>6.555191378256886E-3</v>
      </c>
      <c r="X171" s="23">
        <f t="shared" si="40"/>
        <v>8.084577443603802E-3</v>
      </c>
      <c r="Y171" s="23">
        <f t="shared" si="41"/>
        <v>1.2556771059594851E-2</v>
      </c>
    </row>
    <row r="172" spans="1:25" x14ac:dyDescent="0.3">
      <c r="A172" s="2">
        <f t="shared" si="29"/>
        <v>169</v>
      </c>
      <c r="B172" s="3">
        <v>45414</v>
      </c>
      <c r="C172" s="13">
        <f t="shared" si="30"/>
        <v>2024</v>
      </c>
      <c r="D172" s="13">
        <f t="shared" si="31"/>
        <v>5</v>
      </c>
      <c r="E172" s="24">
        <v>16.965299999999999</v>
      </c>
      <c r="F172" s="25">
        <v>56.43</v>
      </c>
      <c r="G172" s="25">
        <v>36.479999999999997</v>
      </c>
      <c r="H172" s="25">
        <v>13.31</v>
      </c>
      <c r="I172" s="25">
        <v>249.61</v>
      </c>
      <c r="J172" s="25">
        <v>14.3</v>
      </c>
      <c r="K172" s="25">
        <v>299.10000000000002</v>
      </c>
      <c r="L172" s="25">
        <v>184.72</v>
      </c>
      <c r="M172" s="25">
        <v>180.01</v>
      </c>
      <c r="N172" s="25">
        <v>56677.05</v>
      </c>
      <c r="O172" s="25">
        <v>5064.2</v>
      </c>
      <c r="P172" s="23">
        <f t="shared" si="32"/>
        <v>1.0643959552953941E-3</v>
      </c>
      <c r="Q172" s="23">
        <f t="shared" si="33"/>
        <v>-5.7236304170074082E-3</v>
      </c>
      <c r="R172" s="23">
        <f t="shared" si="34"/>
        <v>-1.9159911569638921E-2</v>
      </c>
      <c r="S172" s="23">
        <f t="shared" si="35"/>
        <v>4.0223643457624192E-3</v>
      </c>
      <c r="T172" s="23">
        <f t="shared" si="36"/>
        <v>1.4904187366926891E-2</v>
      </c>
      <c r="U172" s="23">
        <f t="shared" si="37"/>
        <v>-1.6714023065333983E-4</v>
      </c>
      <c r="V172" s="23">
        <f t="shared" si="38"/>
        <v>5.5542857142857116E-2</v>
      </c>
      <c r="W172" s="23">
        <f t="shared" si="39"/>
        <v>-1.7841553906591034E-2</v>
      </c>
      <c r="X172" s="23">
        <f t="shared" si="40"/>
        <v>-8.9779329353878445E-4</v>
      </c>
      <c r="Y172" s="23">
        <f t="shared" si="41"/>
        <v>5.6615875877983335E-3</v>
      </c>
    </row>
    <row r="173" spans="1:25" x14ac:dyDescent="0.3">
      <c r="A173" s="2">
        <f t="shared" si="29"/>
        <v>170</v>
      </c>
      <c r="B173" s="3">
        <v>45412</v>
      </c>
      <c r="C173" s="13">
        <f t="shared" si="30"/>
        <v>2024</v>
      </c>
      <c r="D173" s="13">
        <f t="shared" si="31"/>
        <v>4</v>
      </c>
      <c r="E173" s="24">
        <v>17.1355</v>
      </c>
      <c r="F173" s="25">
        <v>56.37</v>
      </c>
      <c r="G173" s="25">
        <v>36.69</v>
      </c>
      <c r="H173" s="25">
        <v>13.57</v>
      </c>
      <c r="I173" s="25">
        <v>248.61</v>
      </c>
      <c r="J173" s="25">
        <v>14.09</v>
      </c>
      <c r="K173" s="25">
        <v>299.14999999999998</v>
      </c>
      <c r="L173" s="25">
        <v>175</v>
      </c>
      <c r="M173" s="25">
        <v>183.28</v>
      </c>
      <c r="N173" s="25">
        <v>56727.98</v>
      </c>
      <c r="O173" s="25">
        <v>5035.6899999999996</v>
      </c>
      <c r="P173" s="23">
        <f t="shared" si="32"/>
        <v>-1.8115310921442251E-2</v>
      </c>
      <c r="Q173" s="23">
        <f t="shared" si="33"/>
        <v>-1.0250876719719471E-2</v>
      </c>
      <c r="R173" s="23">
        <f t="shared" si="34"/>
        <v>-1.8089725036179449E-2</v>
      </c>
      <c r="S173" s="23">
        <f t="shared" si="35"/>
        <v>-0.12387228643924431</v>
      </c>
      <c r="T173" s="23">
        <f t="shared" si="36"/>
        <v>-2.016689847009745E-2</v>
      </c>
      <c r="U173" s="23">
        <f t="shared" si="37"/>
        <v>-9.8633038758151326E-3</v>
      </c>
      <c r="V173" s="23">
        <f t="shared" si="38"/>
        <v>-3.2935455349248466E-2</v>
      </c>
      <c r="W173" s="23">
        <f t="shared" si="39"/>
        <v>-5.5501159494975583E-2</v>
      </c>
      <c r="X173" s="23">
        <f t="shared" si="40"/>
        <v>-1.9019898021472637E-2</v>
      </c>
      <c r="Y173" s="23">
        <f t="shared" si="41"/>
        <v>-1.5730517164206925E-2</v>
      </c>
    </row>
    <row r="174" spans="1:25" x14ac:dyDescent="0.3">
      <c r="A174" s="2">
        <f t="shared" si="29"/>
        <v>171</v>
      </c>
      <c r="B174" s="3">
        <v>45411</v>
      </c>
      <c r="C174" s="13">
        <f t="shared" si="30"/>
        <v>2024</v>
      </c>
      <c r="D174" s="13">
        <f t="shared" si="31"/>
        <v>4</v>
      </c>
      <c r="E174" s="24">
        <v>17.0016</v>
      </c>
      <c r="F174" s="25">
        <v>57.41</v>
      </c>
      <c r="G174" s="25">
        <v>37.07</v>
      </c>
      <c r="H174" s="25">
        <v>13.82</v>
      </c>
      <c r="I174" s="25">
        <v>283.76</v>
      </c>
      <c r="J174" s="25">
        <v>14.38</v>
      </c>
      <c r="K174" s="25">
        <v>302.13</v>
      </c>
      <c r="L174" s="25">
        <v>180.96</v>
      </c>
      <c r="M174" s="25">
        <v>194.05</v>
      </c>
      <c r="N174" s="25">
        <v>57827.86</v>
      </c>
      <c r="O174" s="25">
        <v>5116.17</v>
      </c>
      <c r="P174" s="23">
        <f t="shared" si="32"/>
        <v>-1.7388280299078795E-3</v>
      </c>
      <c r="Q174" s="23">
        <f t="shared" si="33"/>
        <v>-9.6179535132246974E-3</v>
      </c>
      <c r="R174" s="23">
        <f t="shared" si="34"/>
        <v>-2.2630834512022635E-2</v>
      </c>
      <c r="S174" s="23">
        <f t="shared" si="35"/>
        <v>-1.6974987875008729E-2</v>
      </c>
      <c r="T174" s="23">
        <f t="shared" si="36"/>
        <v>-2.0435967302452229E-2</v>
      </c>
      <c r="U174" s="23">
        <f t="shared" si="37"/>
        <v>1.9898517560441586E-3</v>
      </c>
      <c r="V174" s="23">
        <f t="shared" si="38"/>
        <v>7.4601937423450781E-3</v>
      </c>
      <c r="W174" s="23">
        <f t="shared" si="39"/>
        <v>0.15306910689880571</v>
      </c>
      <c r="X174" s="23">
        <f t="shared" si="40"/>
        <v>-1.0357256174364782E-4</v>
      </c>
      <c r="Y174" s="23">
        <f t="shared" si="41"/>
        <v>3.178456301617949E-3</v>
      </c>
    </row>
    <row r="175" spans="1:25" x14ac:dyDescent="0.3">
      <c r="A175" s="2">
        <f t="shared" si="29"/>
        <v>172</v>
      </c>
      <c r="B175" s="3">
        <v>45408</v>
      </c>
      <c r="C175" s="13">
        <f t="shared" si="30"/>
        <v>2024</v>
      </c>
      <c r="D175" s="13">
        <f t="shared" si="31"/>
        <v>4</v>
      </c>
      <c r="E175" s="24">
        <v>17.138999999999999</v>
      </c>
      <c r="F175" s="25">
        <v>57.51</v>
      </c>
      <c r="G175" s="25">
        <v>37.43</v>
      </c>
      <c r="H175" s="25">
        <v>14.14</v>
      </c>
      <c r="I175" s="25">
        <v>288.66000000000003</v>
      </c>
      <c r="J175" s="25">
        <v>14.68</v>
      </c>
      <c r="K175" s="25">
        <v>301.52999999999997</v>
      </c>
      <c r="L175" s="25">
        <v>179.62</v>
      </c>
      <c r="M175" s="25">
        <v>168.29</v>
      </c>
      <c r="N175" s="25">
        <v>57833.85</v>
      </c>
      <c r="O175" s="25">
        <v>5099.96</v>
      </c>
      <c r="P175" s="23">
        <f t="shared" si="32"/>
        <v>1.0720562390158062E-2</v>
      </c>
      <c r="Q175" s="23">
        <f t="shared" si="33"/>
        <v>8.3512931034483984E-3</v>
      </c>
      <c r="R175" s="23">
        <f t="shared" si="34"/>
        <v>2.8368794326241176E-3</v>
      </c>
      <c r="S175" s="23">
        <f t="shared" si="35"/>
        <v>1.3090934615519689E-2</v>
      </c>
      <c r="T175" s="23">
        <f t="shared" si="36"/>
        <v>-2.1333333333333315E-2</v>
      </c>
      <c r="U175" s="23">
        <f t="shared" si="37"/>
        <v>1.4466911146250316E-2</v>
      </c>
      <c r="V175" s="23">
        <f t="shared" si="38"/>
        <v>3.4260378879484188E-2</v>
      </c>
      <c r="W175" s="23">
        <f t="shared" si="39"/>
        <v>-1.1105887883417598E-2</v>
      </c>
      <c r="X175" s="23">
        <f t="shared" si="40"/>
        <v>1.3352833922474439E-2</v>
      </c>
      <c r="Y175" s="23">
        <f t="shared" si="41"/>
        <v>1.0209134739185721E-2</v>
      </c>
    </row>
    <row r="176" spans="1:25" x14ac:dyDescent="0.3">
      <c r="A176" s="2">
        <f t="shared" si="29"/>
        <v>173</v>
      </c>
      <c r="B176" s="3">
        <v>45407</v>
      </c>
      <c r="C176" s="13">
        <f t="shared" si="30"/>
        <v>2024</v>
      </c>
      <c r="D176" s="13">
        <f t="shared" si="31"/>
        <v>4</v>
      </c>
      <c r="E176" s="24">
        <v>17.195</v>
      </c>
      <c r="F176" s="25">
        <v>56.9</v>
      </c>
      <c r="G176" s="25">
        <v>37.119999999999997</v>
      </c>
      <c r="H176" s="25">
        <v>14.1</v>
      </c>
      <c r="I176" s="25">
        <v>284.93</v>
      </c>
      <c r="J176" s="25">
        <v>15</v>
      </c>
      <c r="K176" s="25">
        <v>297.23</v>
      </c>
      <c r="L176" s="25">
        <v>173.67</v>
      </c>
      <c r="M176" s="25">
        <v>170.18</v>
      </c>
      <c r="N176" s="25">
        <v>57071.78</v>
      </c>
      <c r="O176" s="25">
        <v>5048.42</v>
      </c>
      <c r="P176" s="23">
        <f t="shared" si="32"/>
        <v>1.1375755421258349E-2</v>
      </c>
      <c r="Q176" s="23">
        <f t="shared" si="33"/>
        <v>3.6292573981016041E-2</v>
      </c>
      <c r="R176" s="23">
        <f t="shared" si="34"/>
        <v>2.2480058013053084E-2</v>
      </c>
      <c r="S176" s="23">
        <f t="shared" si="35"/>
        <v>9.3520847355554881E-3</v>
      </c>
      <c r="T176" s="23">
        <f t="shared" si="36"/>
        <v>1.8329938900203624E-2</v>
      </c>
      <c r="U176" s="23">
        <f t="shared" si="37"/>
        <v>3.2191971107098372E-2</v>
      </c>
      <c r="V176" s="23">
        <f t="shared" si="38"/>
        <v>-1.653547766011676E-2</v>
      </c>
      <c r="W176" s="23">
        <f t="shared" si="39"/>
        <v>4.9651514216986437E-2</v>
      </c>
      <c r="X176" s="23">
        <f t="shared" si="40"/>
        <v>1.0764205646820235E-2</v>
      </c>
      <c r="Y176" s="23">
        <f t="shared" si="41"/>
        <v>-4.5764379499293462E-3</v>
      </c>
    </row>
    <row r="177" spans="1:25" x14ac:dyDescent="0.3">
      <c r="A177" s="2">
        <f t="shared" si="29"/>
        <v>174</v>
      </c>
      <c r="B177" s="3">
        <v>45406</v>
      </c>
      <c r="C177" s="13">
        <f t="shared" si="30"/>
        <v>2024</v>
      </c>
      <c r="D177" s="13">
        <f t="shared" si="31"/>
        <v>4</v>
      </c>
      <c r="E177" s="24">
        <v>17.055599999999998</v>
      </c>
      <c r="F177" s="25">
        <v>56.26</v>
      </c>
      <c r="G177" s="25">
        <v>35.82</v>
      </c>
      <c r="H177" s="25">
        <v>13.79</v>
      </c>
      <c r="I177" s="25">
        <v>282.29000000000002</v>
      </c>
      <c r="J177" s="25">
        <v>14.73</v>
      </c>
      <c r="K177" s="25">
        <v>287.95999999999998</v>
      </c>
      <c r="L177" s="25">
        <v>176.59</v>
      </c>
      <c r="M177" s="25">
        <v>162.13</v>
      </c>
      <c r="N177" s="25">
        <v>56463.99</v>
      </c>
      <c r="O177" s="25">
        <v>5071.63</v>
      </c>
      <c r="P177" s="23">
        <f t="shared" si="32"/>
        <v>-2.8358738036158293E-3</v>
      </c>
      <c r="Q177" s="23">
        <f t="shared" si="33"/>
        <v>-1.6474464579901205E-2</v>
      </c>
      <c r="R177" s="23">
        <f t="shared" si="34"/>
        <v>-1.7806267806267817E-2</v>
      </c>
      <c r="S177" s="23">
        <f t="shared" si="35"/>
        <v>3.9972001178897765E-2</v>
      </c>
      <c r="T177" s="23">
        <f t="shared" si="36"/>
        <v>2.9350104821803003E-2</v>
      </c>
      <c r="U177" s="23">
        <f t="shared" si="37"/>
        <v>-9.3232875769774237E-3</v>
      </c>
      <c r="V177" s="23">
        <f t="shared" si="38"/>
        <v>-1.6430878912777058E-2</v>
      </c>
      <c r="W177" s="23">
        <f t="shared" si="39"/>
        <v>0.12061100359413879</v>
      </c>
      <c r="X177" s="23">
        <f t="shared" si="40"/>
        <v>-2.997505904164921E-3</v>
      </c>
      <c r="Y177" s="23">
        <f t="shared" si="41"/>
        <v>2.129946455513565E-4</v>
      </c>
    </row>
    <row r="178" spans="1:25" x14ac:dyDescent="0.3">
      <c r="A178" s="2">
        <f t="shared" si="29"/>
        <v>175</v>
      </c>
      <c r="B178" s="3">
        <v>45405</v>
      </c>
      <c r="C178" s="13">
        <f t="shared" si="30"/>
        <v>2024</v>
      </c>
      <c r="D178" s="13">
        <f t="shared" si="31"/>
        <v>4</v>
      </c>
      <c r="E178" s="24">
        <v>16.939</v>
      </c>
      <c r="F178" s="25">
        <v>56.42</v>
      </c>
      <c r="G178" s="25">
        <v>36.42</v>
      </c>
      <c r="H178" s="25">
        <v>14.04</v>
      </c>
      <c r="I178" s="25">
        <v>271.44</v>
      </c>
      <c r="J178" s="25">
        <v>14.31</v>
      </c>
      <c r="K178" s="25">
        <v>290.67</v>
      </c>
      <c r="L178" s="25">
        <v>179.54</v>
      </c>
      <c r="M178" s="25">
        <v>144.68</v>
      </c>
      <c r="N178" s="25">
        <v>56633.75</v>
      </c>
      <c r="O178" s="25">
        <v>5070.55</v>
      </c>
      <c r="P178" s="23">
        <f t="shared" si="32"/>
        <v>-5.3144375553593193E-4</v>
      </c>
      <c r="Q178" s="23">
        <f t="shared" si="33"/>
        <v>2.9686174724342873E-2</v>
      </c>
      <c r="R178" s="23">
        <f t="shared" si="34"/>
        <v>0</v>
      </c>
      <c r="S178" s="23">
        <f t="shared" si="35"/>
        <v>-1.0101746836366221E-2</v>
      </c>
      <c r="T178" s="23">
        <f t="shared" si="36"/>
        <v>4.7584187408491907E-2</v>
      </c>
      <c r="U178" s="23">
        <f t="shared" si="37"/>
        <v>0.10588190534165287</v>
      </c>
      <c r="V178" s="23">
        <f t="shared" si="38"/>
        <v>1.3033910737459742E-2</v>
      </c>
      <c r="W178" s="23">
        <f t="shared" si="39"/>
        <v>1.8514607532558847E-2</v>
      </c>
      <c r="X178" s="23">
        <f t="shared" si="40"/>
        <v>1.4473430600916437E-3</v>
      </c>
      <c r="Y178" s="23">
        <f t="shared" si="41"/>
        <v>1.1964634973855359E-2</v>
      </c>
    </row>
    <row r="179" spans="1:25" x14ac:dyDescent="0.3">
      <c r="A179" s="2">
        <f t="shared" si="29"/>
        <v>176</v>
      </c>
      <c r="B179" s="3">
        <v>45404</v>
      </c>
      <c r="C179" s="13">
        <f t="shared" si="30"/>
        <v>2024</v>
      </c>
      <c r="D179" s="13">
        <f t="shared" si="31"/>
        <v>4</v>
      </c>
      <c r="E179" s="24">
        <v>17.131699999999999</v>
      </c>
      <c r="F179" s="25">
        <v>56.45</v>
      </c>
      <c r="G179" s="25">
        <v>35.369999999999997</v>
      </c>
      <c r="H179" s="25">
        <v>14.04</v>
      </c>
      <c r="I179" s="25">
        <v>274.20999999999998</v>
      </c>
      <c r="J179" s="25">
        <v>13.66</v>
      </c>
      <c r="K179" s="25">
        <v>262.83999999999997</v>
      </c>
      <c r="L179" s="25">
        <v>177.23</v>
      </c>
      <c r="M179" s="25">
        <v>142.05000000000001</v>
      </c>
      <c r="N179" s="25">
        <v>56551.9</v>
      </c>
      <c r="O179" s="25">
        <v>5010.6000000000004</v>
      </c>
      <c r="P179" s="23">
        <f t="shared" si="32"/>
        <v>1.4740248067589334E-2</v>
      </c>
      <c r="Q179" s="23">
        <f t="shared" si="33"/>
        <v>3.1196823596142398E-3</v>
      </c>
      <c r="R179" s="23">
        <f t="shared" si="34"/>
        <v>2.631578947368407E-2</v>
      </c>
      <c r="S179" s="23">
        <f t="shared" si="35"/>
        <v>-7.323915100716516E-2</v>
      </c>
      <c r="T179" s="23">
        <f t="shared" si="36"/>
        <v>2.9389600602863553E-2</v>
      </c>
      <c r="U179" s="23">
        <f t="shared" si="37"/>
        <v>3.0018026491104299E-2</v>
      </c>
      <c r="V179" s="23">
        <f t="shared" si="38"/>
        <v>1.488862165721816E-2</v>
      </c>
      <c r="W179" s="23">
        <f t="shared" si="39"/>
        <v>-3.4002040122407373E-2</v>
      </c>
      <c r="X179" s="23">
        <f t="shared" si="40"/>
        <v>1.2334673222007098E-2</v>
      </c>
      <c r="Y179" s="23">
        <f t="shared" si="41"/>
        <v>8.7312244450128418E-3</v>
      </c>
    </row>
    <row r="180" spans="1:25" x14ac:dyDescent="0.3">
      <c r="A180" s="2">
        <f t="shared" si="29"/>
        <v>177</v>
      </c>
      <c r="B180" s="3">
        <v>45401</v>
      </c>
      <c r="C180" s="13">
        <f t="shared" si="30"/>
        <v>2024</v>
      </c>
      <c r="D180" s="13">
        <f t="shared" si="31"/>
        <v>4</v>
      </c>
      <c r="E180" s="24">
        <v>17.082000000000001</v>
      </c>
      <c r="F180" s="25">
        <v>55.63</v>
      </c>
      <c r="G180" s="25">
        <v>35.26</v>
      </c>
      <c r="H180" s="25">
        <v>13.68</v>
      </c>
      <c r="I180" s="25">
        <v>295.88</v>
      </c>
      <c r="J180" s="25">
        <v>13.27</v>
      </c>
      <c r="K180" s="25">
        <v>255.18</v>
      </c>
      <c r="L180" s="25">
        <v>174.63</v>
      </c>
      <c r="M180" s="25">
        <v>147.05000000000001</v>
      </c>
      <c r="N180" s="25">
        <v>55862.85</v>
      </c>
      <c r="O180" s="25">
        <v>4967.2299999999996</v>
      </c>
      <c r="P180" s="23">
        <f t="shared" si="32"/>
        <v>1.8008283810553305E-3</v>
      </c>
      <c r="Q180" s="23">
        <f t="shared" si="33"/>
        <v>-2.8352707683598766E-4</v>
      </c>
      <c r="R180" s="23">
        <f t="shared" si="34"/>
        <v>-5.0909090909091459E-3</v>
      </c>
      <c r="S180" s="23">
        <f t="shared" si="35"/>
        <v>-3.656670248445193E-2</v>
      </c>
      <c r="T180" s="23">
        <f t="shared" si="36"/>
        <v>-1.5048908954100604E-3</v>
      </c>
      <c r="U180" s="23">
        <f t="shared" si="37"/>
        <v>-6.6575288819259448E-4</v>
      </c>
      <c r="V180" s="23">
        <f t="shared" si="38"/>
        <v>-2.5610980917308401E-2</v>
      </c>
      <c r="W180" s="23">
        <f t="shared" si="39"/>
        <v>-1.9208964183285548E-2</v>
      </c>
      <c r="X180" s="23">
        <f t="shared" si="40"/>
        <v>2.2142314695359211E-3</v>
      </c>
      <c r="Y180" s="23">
        <f t="shared" si="41"/>
        <v>-8.7585210491867294E-3</v>
      </c>
    </row>
    <row r="181" spans="1:25" x14ac:dyDescent="0.3">
      <c r="A181" s="2">
        <f t="shared" si="29"/>
        <v>178</v>
      </c>
      <c r="B181" s="3">
        <v>45400</v>
      </c>
      <c r="C181" s="13">
        <f t="shared" si="30"/>
        <v>2024</v>
      </c>
      <c r="D181" s="13">
        <f t="shared" si="31"/>
        <v>4</v>
      </c>
      <c r="E181" s="24">
        <v>17.074999999999999</v>
      </c>
      <c r="F181" s="25">
        <v>55.53</v>
      </c>
      <c r="G181" s="25">
        <v>35.270000000000003</v>
      </c>
      <c r="H181" s="25">
        <v>13.75</v>
      </c>
      <c r="I181" s="25">
        <v>307.11</v>
      </c>
      <c r="J181" s="25">
        <v>13.29</v>
      </c>
      <c r="K181" s="25">
        <v>255.35</v>
      </c>
      <c r="L181" s="25">
        <v>179.22</v>
      </c>
      <c r="M181" s="25">
        <v>149.93</v>
      </c>
      <c r="N181" s="25">
        <v>55739.43</v>
      </c>
      <c r="O181" s="25">
        <v>5011.12</v>
      </c>
      <c r="P181" s="23">
        <f t="shared" si="32"/>
        <v>5.2498189717595789E-3</v>
      </c>
      <c r="Q181" s="23">
        <f t="shared" si="33"/>
        <v>3.1588183679438497E-2</v>
      </c>
      <c r="R181" s="23">
        <f t="shared" si="34"/>
        <v>-1.2212643678160884E-2</v>
      </c>
      <c r="S181" s="23">
        <f t="shared" si="35"/>
        <v>6.2911628821391563E-3</v>
      </c>
      <c r="T181" s="23">
        <f t="shared" si="36"/>
        <v>4.0720438527799496E-2</v>
      </c>
      <c r="U181" s="23">
        <f t="shared" si="37"/>
        <v>1.5914064054107779E-2</v>
      </c>
      <c r="V181" s="23">
        <f t="shared" si="38"/>
        <v>-1.1363636363636354E-2</v>
      </c>
      <c r="W181" s="23">
        <f t="shared" si="39"/>
        <v>-3.5509810228369187E-2</v>
      </c>
      <c r="X181" s="23">
        <f t="shared" si="40"/>
        <v>5.8420277722788239E-3</v>
      </c>
      <c r="Y181" s="23">
        <f t="shared" si="41"/>
        <v>-2.2081912146246774E-3</v>
      </c>
    </row>
    <row r="182" spans="1:25" x14ac:dyDescent="0.3">
      <c r="A182" s="2">
        <f t="shared" si="29"/>
        <v>179</v>
      </c>
      <c r="B182" s="3">
        <v>45399</v>
      </c>
      <c r="C182" s="13">
        <f t="shared" si="30"/>
        <v>2024</v>
      </c>
      <c r="D182" s="13">
        <f t="shared" si="31"/>
        <v>4</v>
      </c>
      <c r="E182" s="24">
        <v>16.957000000000001</v>
      </c>
      <c r="F182" s="25">
        <v>55.24</v>
      </c>
      <c r="G182" s="25">
        <v>34.19</v>
      </c>
      <c r="H182" s="25">
        <v>13.92</v>
      </c>
      <c r="I182" s="25">
        <v>305.19</v>
      </c>
      <c r="J182" s="25">
        <v>12.77</v>
      </c>
      <c r="K182" s="25">
        <v>251.35</v>
      </c>
      <c r="L182" s="25">
        <v>181.28</v>
      </c>
      <c r="M182" s="25">
        <v>155.44999999999999</v>
      </c>
      <c r="N182" s="25">
        <v>55415.69</v>
      </c>
      <c r="O182" s="25">
        <v>5022.21</v>
      </c>
      <c r="P182" s="23">
        <f t="shared" si="32"/>
        <v>-7.1890726096333069E-3</v>
      </c>
      <c r="Q182" s="23">
        <f t="shared" si="33"/>
        <v>-3.7443693693693825E-2</v>
      </c>
      <c r="R182" s="23">
        <f t="shared" si="34"/>
        <v>-2.9288702928870314E-2</v>
      </c>
      <c r="S182" s="23">
        <f t="shared" si="35"/>
        <v>2.104382736701238E-2</v>
      </c>
      <c r="T182" s="23">
        <f t="shared" si="36"/>
        <v>6.3280599500416201E-2</v>
      </c>
      <c r="U182" s="23">
        <f t="shared" si="37"/>
        <v>-2.6605220354736447E-2</v>
      </c>
      <c r="V182" s="23">
        <f t="shared" si="38"/>
        <v>-1.112808204233029E-2</v>
      </c>
      <c r="W182" s="23">
        <f t="shared" si="39"/>
        <v>-1.056584558589535E-2</v>
      </c>
      <c r="X182" s="23">
        <f t="shared" si="40"/>
        <v>-6.8383298460049646E-3</v>
      </c>
      <c r="Y182" s="23">
        <f t="shared" si="41"/>
        <v>-5.780564238499708E-3</v>
      </c>
    </row>
    <row r="183" spans="1:25" x14ac:dyDescent="0.3">
      <c r="A183" s="2">
        <f t="shared" si="29"/>
        <v>180</v>
      </c>
      <c r="B183" s="3">
        <v>45398</v>
      </c>
      <c r="C183" s="13">
        <f t="shared" si="30"/>
        <v>2024</v>
      </c>
      <c r="D183" s="13">
        <f t="shared" si="31"/>
        <v>4</v>
      </c>
      <c r="E183" s="24">
        <v>17.053000000000001</v>
      </c>
      <c r="F183" s="25">
        <v>55.64</v>
      </c>
      <c r="G183" s="25">
        <v>35.520000000000003</v>
      </c>
      <c r="H183" s="25">
        <v>14.34</v>
      </c>
      <c r="I183" s="25">
        <v>298.89999999999998</v>
      </c>
      <c r="J183" s="25">
        <v>12.01</v>
      </c>
      <c r="K183" s="25">
        <v>258.22000000000003</v>
      </c>
      <c r="L183" s="25">
        <v>183.32</v>
      </c>
      <c r="M183" s="25">
        <v>157.11000000000001</v>
      </c>
      <c r="N183" s="25">
        <v>55797.25</v>
      </c>
      <c r="O183" s="25">
        <v>5051.41</v>
      </c>
      <c r="P183" s="23">
        <f t="shared" si="32"/>
        <v>-2.3310023310023631E-3</v>
      </c>
      <c r="Q183" s="23">
        <f t="shared" si="33"/>
        <v>-8.6519676248951738E-3</v>
      </c>
      <c r="R183" s="23">
        <f t="shared" si="34"/>
        <v>2.2824536376604865E-2</v>
      </c>
      <c r="S183" s="23">
        <f t="shared" si="35"/>
        <v>-2.8630853725910788E-2</v>
      </c>
      <c r="T183" s="23">
        <f t="shared" si="36"/>
        <v>-1.6625103906898753E-3</v>
      </c>
      <c r="U183" s="23">
        <f t="shared" si="37"/>
        <v>3.3416226297793283E-3</v>
      </c>
      <c r="V183" s="23">
        <f t="shared" si="38"/>
        <v>-1.6338089532731415E-3</v>
      </c>
      <c r="W183" s="23">
        <f t="shared" si="39"/>
        <v>-2.7062174882338197E-2</v>
      </c>
      <c r="X183" s="23">
        <f t="shared" si="40"/>
        <v>-3.335774507001954E-3</v>
      </c>
      <c r="Y183" s="23">
        <f t="shared" si="41"/>
        <v>-2.056572537150636E-3</v>
      </c>
    </row>
    <row r="184" spans="1:25" x14ac:dyDescent="0.3">
      <c r="A184" s="2">
        <f t="shared" si="29"/>
        <v>181</v>
      </c>
      <c r="B184" s="3">
        <v>45397</v>
      </c>
      <c r="C184" s="13">
        <f t="shared" si="30"/>
        <v>2024</v>
      </c>
      <c r="D184" s="13">
        <f t="shared" si="31"/>
        <v>4</v>
      </c>
      <c r="E184" s="24">
        <v>16.722999999999999</v>
      </c>
      <c r="F184" s="25">
        <v>55.77</v>
      </c>
      <c r="G184" s="25">
        <v>35.83</v>
      </c>
      <c r="H184" s="25">
        <v>14.02</v>
      </c>
      <c r="I184" s="25">
        <v>307.70999999999998</v>
      </c>
      <c r="J184" s="25">
        <v>12.03</v>
      </c>
      <c r="K184" s="25">
        <v>257.36</v>
      </c>
      <c r="L184" s="25">
        <v>183.62</v>
      </c>
      <c r="M184" s="25">
        <v>161.47999999999999</v>
      </c>
      <c r="N184" s="25">
        <v>55984</v>
      </c>
      <c r="O184" s="25">
        <v>5061.82</v>
      </c>
      <c r="P184" s="23">
        <f t="shared" si="32"/>
        <v>-1.0292812777284777E-2</v>
      </c>
      <c r="Q184" s="23">
        <f t="shared" si="33"/>
        <v>-1.2947658402203799E-2</v>
      </c>
      <c r="R184" s="23">
        <f t="shared" si="34"/>
        <v>-1.4064697609001531E-2</v>
      </c>
      <c r="S184" s="23">
        <f t="shared" si="35"/>
        <v>-5.697211155378501E-2</v>
      </c>
      <c r="T184" s="23">
        <f t="shared" si="36"/>
        <v>2.6450511945392385E-2</v>
      </c>
      <c r="U184" s="23">
        <f t="shared" si="37"/>
        <v>-1.1446569870169676E-2</v>
      </c>
      <c r="V184" s="23">
        <f t="shared" si="38"/>
        <v>-1.3485198517165342E-2</v>
      </c>
      <c r="W184" s="23">
        <f t="shared" si="39"/>
        <v>-5.5948553054662509E-2</v>
      </c>
      <c r="X184" s="23">
        <f t="shared" si="40"/>
        <v>-1.0287466375513699E-2</v>
      </c>
      <c r="Y184" s="23">
        <f t="shared" si="41"/>
        <v>-1.2021290507689297E-2</v>
      </c>
    </row>
    <row r="185" spans="1:25" x14ac:dyDescent="0.3">
      <c r="A185" s="2">
        <f t="shared" si="29"/>
        <v>182</v>
      </c>
      <c r="B185" s="3">
        <v>45394</v>
      </c>
      <c r="C185" s="13">
        <f t="shared" si="30"/>
        <v>2024</v>
      </c>
      <c r="D185" s="13">
        <f t="shared" si="31"/>
        <v>4</v>
      </c>
      <c r="E185" s="24">
        <v>16.62</v>
      </c>
      <c r="F185" s="25">
        <v>56.35</v>
      </c>
      <c r="G185" s="25">
        <v>36.299999999999997</v>
      </c>
      <c r="H185" s="25">
        <v>14.22</v>
      </c>
      <c r="I185" s="25">
        <v>326.3</v>
      </c>
      <c r="J185" s="25">
        <v>11.72</v>
      </c>
      <c r="K185" s="25">
        <v>260.33999999999997</v>
      </c>
      <c r="L185" s="25">
        <v>186.13</v>
      </c>
      <c r="M185" s="25">
        <v>171.05</v>
      </c>
      <c r="N185" s="25">
        <v>56565.919999999998</v>
      </c>
      <c r="O185" s="25">
        <v>5123.41</v>
      </c>
      <c r="P185" s="23">
        <f t="shared" si="32"/>
        <v>-4.2410319844495836E-3</v>
      </c>
      <c r="Q185" s="23">
        <f t="shared" si="33"/>
        <v>-1.9184004323155923E-2</v>
      </c>
      <c r="R185" s="23">
        <f t="shared" si="34"/>
        <v>-9.0592334494772331E-3</v>
      </c>
      <c r="S185" s="23">
        <f t="shared" si="35"/>
        <v>2.8688524590164022E-2</v>
      </c>
      <c r="T185" s="23">
        <f t="shared" si="36"/>
        <v>-4.9472830494728282E-2</v>
      </c>
      <c r="U185" s="23">
        <f t="shared" si="37"/>
        <v>5.5619930475085955E-3</v>
      </c>
      <c r="V185" s="23">
        <f t="shared" si="38"/>
        <v>-1.5445649299127284E-2</v>
      </c>
      <c r="W185" s="23">
        <f t="shared" si="39"/>
        <v>-2.0332187857960982E-2</v>
      </c>
      <c r="X185" s="23">
        <f t="shared" si="40"/>
        <v>-4.652446088637241E-3</v>
      </c>
      <c r="Y185" s="23">
        <f t="shared" si="41"/>
        <v>-1.4550707243232486E-2</v>
      </c>
    </row>
    <row r="186" spans="1:25" x14ac:dyDescent="0.3">
      <c r="A186" s="2">
        <f t="shared" si="29"/>
        <v>183</v>
      </c>
      <c r="B186" s="3">
        <v>45393</v>
      </c>
      <c r="C186" s="13">
        <f t="shared" si="30"/>
        <v>2024</v>
      </c>
      <c r="D186" s="13">
        <f t="shared" si="31"/>
        <v>4</v>
      </c>
      <c r="E186" s="24">
        <v>16.4343</v>
      </c>
      <c r="F186" s="25">
        <v>56.59</v>
      </c>
      <c r="G186" s="25">
        <v>37.01</v>
      </c>
      <c r="H186" s="25">
        <v>14.35</v>
      </c>
      <c r="I186" s="25">
        <v>317.2</v>
      </c>
      <c r="J186" s="25">
        <v>12.33</v>
      </c>
      <c r="K186" s="25">
        <v>258.89999999999998</v>
      </c>
      <c r="L186" s="25">
        <v>189.05</v>
      </c>
      <c r="M186" s="25">
        <v>174.6</v>
      </c>
      <c r="N186" s="25">
        <v>56830.32</v>
      </c>
      <c r="O186" s="25">
        <v>5199.0600000000004</v>
      </c>
      <c r="P186" s="23">
        <f t="shared" si="32"/>
        <v>3.902785169416445E-3</v>
      </c>
      <c r="Q186" s="23">
        <f t="shared" si="33"/>
        <v>1.0098253275109048E-2</v>
      </c>
      <c r="R186" s="23">
        <f t="shared" si="34"/>
        <v>1.4134275618374437E-2</v>
      </c>
      <c r="S186" s="23">
        <f t="shared" si="35"/>
        <v>1.29423277249896E-3</v>
      </c>
      <c r="T186" s="23">
        <f t="shared" si="36"/>
        <v>-2.3752969121140222E-2</v>
      </c>
      <c r="U186" s="23">
        <f t="shared" si="37"/>
        <v>3.8385483308129853E-3</v>
      </c>
      <c r="V186" s="23">
        <f t="shared" si="38"/>
        <v>1.6671148158107219E-2</v>
      </c>
      <c r="W186" s="23">
        <f t="shared" si="39"/>
        <v>1.6534699580810441E-2</v>
      </c>
      <c r="X186" s="23">
        <f t="shared" si="40"/>
        <v>3.4214660711970879E-3</v>
      </c>
      <c r="Y186" s="23">
        <f t="shared" si="41"/>
        <v>7.4448130464439544E-3</v>
      </c>
    </row>
    <row r="187" spans="1:25" x14ac:dyDescent="0.3">
      <c r="A187" s="2">
        <f t="shared" si="29"/>
        <v>184</v>
      </c>
      <c r="B187" s="3">
        <v>45392</v>
      </c>
      <c r="C187" s="13">
        <f t="shared" si="30"/>
        <v>2024</v>
      </c>
      <c r="D187" s="13">
        <f t="shared" si="31"/>
        <v>4</v>
      </c>
      <c r="E187" s="24">
        <v>16.41</v>
      </c>
      <c r="F187" s="25">
        <v>56.37</v>
      </c>
      <c r="G187" s="25">
        <v>36.64</v>
      </c>
      <c r="H187" s="25">
        <v>14.15</v>
      </c>
      <c r="I187" s="25">
        <v>316.79000000000002</v>
      </c>
      <c r="J187" s="25">
        <v>12.63</v>
      </c>
      <c r="K187" s="25">
        <v>257.91000000000003</v>
      </c>
      <c r="L187" s="25">
        <v>185.95</v>
      </c>
      <c r="M187" s="25">
        <v>171.76</v>
      </c>
      <c r="N187" s="25">
        <v>56636.54</v>
      </c>
      <c r="O187" s="25">
        <v>5160.6400000000003</v>
      </c>
      <c r="P187" s="23">
        <f t="shared" si="32"/>
        <v>-1.6402024079567368E-2</v>
      </c>
      <c r="Q187" s="23">
        <f t="shared" si="33"/>
        <v>-3.8067734313468216E-2</v>
      </c>
      <c r="R187" s="23">
        <f t="shared" si="34"/>
        <v>-1.5994436717663429E-2</v>
      </c>
      <c r="S187" s="23">
        <f t="shared" si="35"/>
        <v>-2.6280199176246244E-2</v>
      </c>
      <c r="T187" s="23">
        <f t="shared" si="36"/>
        <v>6.3745019920318224E-3</v>
      </c>
      <c r="U187" s="23">
        <f t="shared" si="37"/>
        <v>-1.1005445202852737E-2</v>
      </c>
      <c r="V187" s="23">
        <f t="shared" si="38"/>
        <v>1.5080519200731946E-3</v>
      </c>
      <c r="W187" s="23">
        <f t="shared" si="39"/>
        <v>-2.8946178199909522E-2</v>
      </c>
      <c r="X187" s="23">
        <f t="shared" si="40"/>
        <v>-1.6233999147142297E-2</v>
      </c>
      <c r="Y187" s="23">
        <f t="shared" si="41"/>
        <v>-9.4569771838668437E-3</v>
      </c>
    </row>
    <row r="188" spans="1:25" x14ac:dyDescent="0.3">
      <c r="A188" s="2">
        <f t="shared" si="29"/>
        <v>185</v>
      </c>
      <c r="B188" s="3">
        <v>45391</v>
      </c>
      <c r="C188" s="13">
        <f t="shared" si="30"/>
        <v>2024</v>
      </c>
      <c r="D188" s="13">
        <f t="shared" si="31"/>
        <v>4</v>
      </c>
      <c r="E188" s="24">
        <v>16.3826</v>
      </c>
      <c r="F188" s="25">
        <v>57.31</v>
      </c>
      <c r="G188" s="25">
        <v>38.090000000000003</v>
      </c>
      <c r="H188" s="25">
        <v>14.38</v>
      </c>
      <c r="I188" s="25">
        <v>325.33999999999997</v>
      </c>
      <c r="J188" s="25">
        <v>12.55</v>
      </c>
      <c r="K188" s="25">
        <v>260.77999999999997</v>
      </c>
      <c r="L188" s="25">
        <v>185.67</v>
      </c>
      <c r="M188" s="25">
        <v>176.88</v>
      </c>
      <c r="N188" s="25">
        <v>57571.15</v>
      </c>
      <c r="O188" s="25">
        <v>5209.91</v>
      </c>
      <c r="P188" s="23">
        <f t="shared" si="32"/>
        <v>-6.7590987868284547E-3</v>
      </c>
      <c r="Q188" s="23">
        <f t="shared" si="33"/>
        <v>-7.8145350351653819E-3</v>
      </c>
      <c r="R188" s="23">
        <f t="shared" si="34"/>
        <v>-1.1004126547455195E-2</v>
      </c>
      <c r="S188" s="23">
        <f t="shared" si="35"/>
        <v>1.767337107823197E-2</v>
      </c>
      <c r="T188" s="23">
        <f t="shared" si="36"/>
        <v>-2.2585669781931439E-2</v>
      </c>
      <c r="U188" s="23">
        <f t="shared" si="37"/>
        <v>-3.7499077286484161E-2</v>
      </c>
      <c r="V188" s="23">
        <f t="shared" si="38"/>
        <v>2.5919326097521012E-3</v>
      </c>
      <c r="W188" s="23">
        <f t="shared" si="39"/>
        <v>2.2545959070412902E-2</v>
      </c>
      <c r="X188" s="23">
        <f t="shared" si="40"/>
        <v>-7.2217698449076329E-3</v>
      </c>
      <c r="Y188" s="23">
        <f t="shared" si="41"/>
        <v>1.4454894769517779E-3</v>
      </c>
    </row>
    <row r="189" spans="1:25" x14ac:dyDescent="0.3">
      <c r="A189" s="2">
        <f t="shared" si="29"/>
        <v>186</v>
      </c>
      <c r="B189" s="3">
        <v>45390</v>
      </c>
      <c r="C189" s="13">
        <f t="shared" si="30"/>
        <v>2024</v>
      </c>
      <c r="D189" s="13">
        <f t="shared" si="31"/>
        <v>4</v>
      </c>
      <c r="E189" s="24">
        <v>16.312999999999999</v>
      </c>
      <c r="F189" s="25">
        <v>57.7</v>
      </c>
      <c r="G189" s="25">
        <v>38.39</v>
      </c>
      <c r="H189" s="25">
        <v>14.54</v>
      </c>
      <c r="I189" s="25">
        <v>319.69</v>
      </c>
      <c r="J189" s="25">
        <v>12.84</v>
      </c>
      <c r="K189" s="25">
        <v>270.94</v>
      </c>
      <c r="L189" s="25">
        <v>185.19</v>
      </c>
      <c r="M189" s="25">
        <v>172.98</v>
      </c>
      <c r="N189" s="25">
        <v>57989.94</v>
      </c>
      <c r="O189" s="25">
        <v>5202.3900000000003</v>
      </c>
      <c r="P189" s="23">
        <f t="shared" si="32"/>
        <v>-1.0387811634348099E-3</v>
      </c>
      <c r="Q189" s="23">
        <f t="shared" si="33"/>
        <v>-1.8660531697341387E-2</v>
      </c>
      <c r="R189" s="23">
        <f t="shared" si="34"/>
        <v>-1.3736263736264798E-3</v>
      </c>
      <c r="S189" s="23">
        <f t="shared" si="35"/>
        <v>3.0992002063983559E-2</v>
      </c>
      <c r="T189" s="23">
        <f t="shared" si="36"/>
        <v>-1.2307692307692353E-2</v>
      </c>
      <c r="U189" s="23">
        <f t="shared" si="37"/>
        <v>-6.6391265860132886E-4</v>
      </c>
      <c r="V189" s="23">
        <f t="shared" si="38"/>
        <v>6.4840330685678182E-4</v>
      </c>
      <c r="W189" s="23">
        <f t="shared" si="39"/>
        <v>4.899939357186156E-2</v>
      </c>
      <c r="X189" s="23">
        <f t="shared" si="40"/>
        <v>-1.7644292441495457E-3</v>
      </c>
      <c r="Y189" s="23">
        <f t="shared" si="41"/>
        <v>-3.7468728023148934E-4</v>
      </c>
    </row>
    <row r="190" spans="1:25" x14ac:dyDescent="0.3">
      <c r="A190" s="2">
        <f t="shared" si="29"/>
        <v>187</v>
      </c>
      <c r="B190" s="3">
        <v>45387</v>
      </c>
      <c r="C190" s="13">
        <f t="shared" si="30"/>
        <v>2024</v>
      </c>
      <c r="D190" s="13">
        <f t="shared" si="31"/>
        <v>4</v>
      </c>
      <c r="E190" s="24">
        <v>16.4497</v>
      </c>
      <c r="F190" s="25">
        <v>57.76</v>
      </c>
      <c r="G190" s="25">
        <v>39.119999999999997</v>
      </c>
      <c r="H190" s="25">
        <v>14.56</v>
      </c>
      <c r="I190" s="25">
        <v>310.08</v>
      </c>
      <c r="J190" s="25">
        <v>13</v>
      </c>
      <c r="K190" s="25">
        <v>271.12</v>
      </c>
      <c r="L190" s="25">
        <v>185.07</v>
      </c>
      <c r="M190" s="25">
        <v>164.9</v>
      </c>
      <c r="N190" s="25">
        <v>58092.44</v>
      </c>
      <c r="O190" s="25">
        <v>5204.34</v>
      </c>
      <c r="P190" s="23">
        <f t="shared" si="32"/>
        <v>2.9519013717658193E-3</v>
      </c>
      <c r="Q190" s="23">
        <f t="shared" si="33"/>
        <v>1.0069713400464808E-2</v>
      </c>
      <c r="R190" s="23">
        <f t="shared" si="34"/>
        <v>-1.3550135501354976E-2</v>
      </c>
      <c r="S190" s="23">
        <f t="shared" si="35"/>
        <v>6.1699650756693813E-2</v>
      </c>
      <c r="T190" s="23">
        <f t="shared" si="36"/>
        <v>7.698229407235857E-4</v>
      </c>
      <c r="U190" s="23">
        <f t="shared" si="37"/>
        <v>6.0111317254174512E-3</v>
      </c>
      <c r="V190" s="23">
        <f t="shared" si="38"/>
        <v>2.8166666666666673E-2</v>
      </c>
      <c r="W190" s="23">
        <f t="shared" si="39"/>
        <v>-3.6292443457425105E-2</v>
      </c>
      <c r="X190" s="23">
        <f t="shared" si="40"/>
        <v>3.6224948499345988E-3</v>
      </c>
      <c r="Y190" s="23">
        <f t="shared" si="41"/>
        <v>1.1099216857287653E-2</v>
      </c>
    </row>
    <row r="191" spans="1:25" x14ac:dyDescent="0.3">
      <c r="A191" s="2">
        <f t="shared" si="29"/>
        <v>188</v>
      </c>
      <c r="B191" s="3">
        <v>45386</v>
      </c>
      <c r="C191" s="13">
        <f t="shared" si="30"/>
        <v>2024</v>
      </c>
      <c r="D191" s="13">
        <f t="shared" si="31"/>
        <v>4</v>
      </c>
      <c r="E191" s="24">
        <v>16.582899999999999</v>
      </c>
      <c r="F191" s="25">
        <v>57.59</v>
      </c>
      <c r="G191" s="25">
        <v>38.729999999999997</v>
      </c>
      <c r="H191" s="25">
        <v>14.76</v>
      </c>
      <c r="I191" s="25">
        <v>292.06</v>
      </c>
      <c r="J191" s="25">
        <v>12.99</v>
      </c>
      <c r="K191" s="25">
        <v>269.5</v>
      </c>
      <c r="L191" s="25">
        <v>180</v>
      </c>
      <c r="M191" s="25">
        <v>171.11</v>
      </c>
      <c r="N191" s="25">
        <v>57882.76</v>
      </c>
      <c r="O191" s="25">
        <v>5147.21</v>
      </c>
      <c r="P191" s="23">
        <f t="shared" si="32"/>
        <v>6.4662705347782179E-3</v>
      </c>
      <c r="Q191" s="23">
        <f t="shared" si="33"/>
        <v>2.4332187252049664E-2</v>
      </c>
      <c r="R191" s="23">
        <f t="shared" si="34"/>
        <v>-2.5742574257425765E-2</v>
      </c>
      <c r="S191" s="23">
        <f t="shared" si="35"/>
        <v>4.1100773535807322E-2</v>
      </c>
      <c r="T191" s="23">
        <f t="shared" si="36"/>
        <v>-6.8807339449541427E-3</v>
      </c>
      <c r="U191" s="23">
        <f t="shared" si="37"/>
        <v>2.8586695164306786E-2</v>
      </c>
      <c r="V191" s="23">
        <f t="shared" si="38"/>
        <v>-1.3211994956416895E-2</v>
      </c>
      <c r="W191" s="23">
        <f t="shared" si="39"/>
        <v>1.6213326998455901E-2</v>
      </c>
      <c r="X191" s="23">
        <f t="shared" si="40"/>
        <v>6.5973501736158457E-3</v>
      </c>
      <c r="Y191" s="23">
        <f t="shared" si="41"/>
        <v>-1.2334284436888443E-2</v>
      </c>
    </row>
    <row r="192" spans="1:25" x14ac:dyDescent="0.3">
      <c r="A192" s="2">
        <f t="shared" si="29"/>
        <v>189</v>
      </c>
      <c r="B192" s="3">
        <v>45385</v>
      </c>
      <c r="C192" s="13">
        <f t="shared" si="30"/>
        <v>2024</v>
      </c>
      <c r="D192" s="13">
        <f t="shared" si="31"/>
        <v>4</v>
      </c>
      <c r="E192" s="24">
        <v>16.533999999999999</v>
      </c>
      <c r="F192" s="25">
        <v>57.22</v>
      </c>
      <c r="G192" s="25">
        <v>37.81</v>
      </c>
      <c r="H192" s="25">
        <v>15.15</v>
      </c>
      <c r="I192" s="25">
        <v>280.52999999999997</v>
      </c>
      <c r="J192" s="25">
        <v>13.08</v>
      </c>
      <c r="K192" s="25">
        <v>262.01</v>
      </c>
      <c r="L192" s="25">
        <v>182.41</v>
      </c>
      <c r="M192" s="25">
        <v>168.38</v>
      </c>
      <c r="N192" s="25">
        <v>57503.39</v>
      </c>
      <c r="O192" s="25">
        <v>5211.49</v>
      </c>
      <c r="P192" s="23">
        <f t="shared" si="32"/>
        <v>-3.4940600978339287E-4</v>
      </c>
      <c r="Q192" s="23">
        <f t="shared" si="33"/>
        <v>-6.5685759327377413E-3</v>
      </c>
      <c r="R192" s="23">
        <f t="shared" si="34"/>
        <v>1.0673782521681163E-2</v>
      </c>
      <c r="S192" s="23">
        <f t="shared" si="35"/>
        <v>6.5519598906107479E-2</v>
      </c>
      <c r="T192" s="23">
        <f t="shared" si="36"/>
        <v>2.0280811232449292E-2</v>
      </c>
      <c r="U192" s="23">
        <f t="shared" si="37"/>
        <v>3.5621265512486566E-3</v>
      </c>
      <c r="V192" s="23">
        <f t="shared" si="38"/>
        <v>9.5190658033095232E-3</v>
      </c>
      <c r="W192" s="23">
        <f t="shared" si="39"/>
        <v>1.0502310508311741E-2</v>
      </c>
      <c r="X192" s="23">
        <f t="shared" si="40"/>
        <v>-1.361888415803536E-3</v>
      </c>
      <c r="Y192" s="23">
        <f t="shared" si="41"/>
        <v>1.0910886106099138E-3</v>
      </c>
    </row>
    <row r="193" spans="1:25" x14ac:dyDescent="0.3">
      <c r="A193" s="2">
        <f t="shared" si="29"/>
        <v>190</v>
      </c>
      <c r="B193" s="3">
        <v>45384</v>
      </c>
      <c r="C193" s="13">
        <f t="shared" si="30"/>
        <v>2024</v>
      </c>
      <c r="D193" s="13">
        <f t="shared" si="31"/>
        <v>4</v>
      </c>
      <c r="E193" s="24">
        <v>16.55</v>
      </c>
      <c r="F193" s="25">
        <v>57.24</v>
      </c>
      <c r="G193" s="25">
        <v>38.06</v>
      </c>
      <c r="H193" s="25">
        <v>14.99</v>
      </c>
      <c r="I193" s="25">
        <v>263.27999999999997</v>
      </c>
      <c r="J193" s="25">
        <v>12.82</v>
      </c>
      <c r="K193" s="25">
        <v>261.08</v>
      </c>
      <c r="L193" s="25">
        <v>180.69</v>
      </c>
      <c r="M193" s="25">
        <v>166.63</v>
      </c>
      <c r="N193" s="25">
        <v>57581.81</v>
      </c>
      <c r="O193" s="25">
        <v>5205.8100000000004</v>
      </c>
      <c r="P193" s="23">
        <f t="shared" si="32"/>
        <v>-1.7439832577607062E-3</v>
      </c>
      <c r="Q193" s="23">
        <f t="shared" si="33"/>
        <v>0</v>
      </c>
      <c r="R193" s="23">
        <f t="shared" si="34"/>
        <v>-3.3244680851063357E-3</v>
      </c>
      <c r="S193" s="23">
        <f t="shared" si="35"/>
        <v>2.0860798759208876E-2</v>
      </c>
      <c r="T193" s="23">
        <f t="shared" si="36"/>
        <v>2.5600000000000067E-2</v>
      </c>
      <c r="U193" s="23">
        <f t="shared" si="37"/>
        <v>1.4454460677649772E-2</v>
      </c>
      <c r="V193" s="23">
        <f t="shared" si="38"/>
        <v>-1.5472177709012769E-3</v>
      </c>
      <c r="W193" s="23">
        <f t="shared" si="39"/>
        <v>-4.9024084008674862E-2</v>
      </c>
      <c r="X193" s="23">
        <f t="shared" si="40"/>
        <v>-1.2387857540679947E-3</v>
      </c>
      <c r="Y193" s="23">
        <f t="shared" si="41"/>
        <v>-7.2390665494481699E-3</v>
      </c>
    </row>
    <row r="194" spans="1:25" x14ac:dyDescent="0.3">
      <c r="A194" s="2">
        <f t="shared" si="29"/>
        <v>191</v>
      </c>
      <c r="B194" s="3">
        <v>45383</v>
      </c>
      <c r="C194" s="13">
        <f t="shared" si="30"/>
        <v>2024</v>
      </c>
      <c r="D194" s="13">
        <f t="shared" si="31"/>
        <v>4</v>
      </c>
      <c r="E194" s="24">
        <v>16.611799999999999</v>
      </c>
      <c r="F194" s="25">
        <v>57.34</v>
      </c>
      <c r="G194" s="25">
        <v>38.06</v>
      </c>
      <c r="H194" s="25">
        <v>15.04</v>
      </c>
      <c r="I194" s="25">
        <v>257.89999999999998</v>
      </c>
      <c r="J194" s="25">
        <v>12.5</v>
      </c>
      <c r="K194" s="25">
        <v>257.36</v>
      </c>
      <c r="L194" s="25">
        <v>180.97</v>
      </c>
      <c r="M194" s="25">
        <v>175.22</v>
      </c>
      <c r="N194" s="25">
        <v>57653.23</v>
      </c>
      <c r="O194" s="25">
        <v>5243.77</v>
      </c>
      <c r="P194" s="23">
        <f t="shared" si="32"/>
        <v>5.0832602979842267E-3</v>
      </c>
      <c r="Q194" s="23">
        <f t="shared" si="33"/>
        <v>-2.3601847101077378E-2</v>
      </c>
      <c r="R194" s="23">
        <f t="shared" si="34"/>
        <v>2.5221540558963751E-2</v>
      </c>
      <c r="S194" s="23">
        <f t="shared" si="35"/>
        <v>9.7586925990551965E-2</v>
      </c>
      <c r="T194" s="23">
        <f t="shared" si="36"/>
        <v>2.9654036243822013E-2</v>
      </c>
      <c r="U194" s="23">
        <f t="shared" si="37"/>
        <v>5.3125000000000533E-3</v>
      </c>
      <c r="V194" s="23">
        <f t="shared" si="38"/>
        <v>6.3393204693320548E-3</v>
      </c>
      <c r="W194" s="23">
        <f t="shared" si="39"/>
        <v>-2.5635322248790615E-2</v>
      </c>
      <c r="X194" s="23">
        <f t="shared" si="40"/>
        <v>4.95424271745315E-3</v>
      </c>
      <c r="Y194" s="23">
        <f t="shared" si="41"/>
        <v>-8.993062766623483E-4</v>
      </c>
    </row>
    <row r="195" spans="1:25" x14ac:dyDescent="0.3">
      <c r="A195" s="2">
        <f t="shared" si="29"/>
        <v>192</v>
      </c>
      <c r="B195" s="3">
        <v>45378</v>
      </c>
      <c r="C195" s="13">
        <f t="shared" si="30"/>
        <v>2024</v>
      </c>
      <c r="D195" s="13">
        <f t="shared" si="31"/>
        <v>3</v>
      </c>
      <c r="E195" s="24">
        <v>16.523</v>
      </c>
      <c r="F195" s="25">
        <v>57.05</v>
      </c>
      <c r="G195" s="25">
        <v>38.979999999999997</v>
      </c>
      <c r="H195" s="25">
        <v>14.67</v>
      </c>
      <c r="I195" s="25">
        <v>234.97</v>
      </c>
      <c r="J195" s="25">
        <v>12.14</v>
      </c>
      <c r="K195" s="25">
        <v>256</v>
      </c>
      <c r="L195" s="25">
        <v>179.83</v>
      </c>
      <c r="M195" s="25">
        <v>179.83</v>
      </c>
      <c r="N195" s="25">
        <v>57369.01</v>
      </c>
      <c r="O195" s="25">
        <v>5248.49</v>
      </c>
      <c r="P195" s="23">
        <f t="shared" si="32"/>
        <v>2.1078517477604031E-3</v>
      </c>
      <c r="Q195" s="23">
        <f t="shared" si="33"/>
        <v>-1.025115325474224E-3</v>
      </c>
      <c r="R195" s="23">
        <f t="shared" si="34"/>
        <v>6.8212824010904782E-4</v>
      </c>
      <c r="S195" s="23">
        <f t="shared" si="35"/>
        <v>1.9746549778665079E-2</v>
      </c>
      <c r="T195" s="23">
        <f t="shared" si="36"/>
        <v>9.9833610648918381E-3</v>
      </c>
      <c r="U195" s="23">
        <f t="shared" si="37"/>
        <v>7.9930700476433802E-3</v>
      </c>
      <c r="V195" s="23">
        <f t="shared" si="38"/>
        <v>8.5810431856421232E-3</v>
      </c>
      <c r="W195" s="23">
        <f t="shared" si="39"/>
        <v>1.2157370405808665E-2</v>
      </c>
      <c r="X195" s="23">
        <f t="shared" si="40"/>
        <v>2.7846676350340438E-3</v>
      </c>
      <c r="Y195" s="23">
        <f t="shared" si="41"/>
        <v>8.6305966277062662E-3</v>
      </c>
    </row>
    <row r="196" spans="1:25" x14ac:dyDescent="0.3">
      <c r="A196" s="2">
        <f t="shared" ref="A196:A255" si="42">+A197-1</f>
        <v>193</v>
      </c>
      <c r="B196" s="3">
        <v>45377</v>
      </c>
      <c r="C196" s="13">
        <f t="shared" ref="C196:C256" si="43">+YEAR(B196)</f>
        <v>2024</v>
      </c>
      <c r="D196" s="13">
        <f t="shared" ref="D196:D256" si="44">+MONTH(B196)</f>
        <v>3</v>
      </c>
      <c r="E196" s="24">
        <v>16.635000000000002</v>
      </c>
      <c r="F196" s="25">
        <v>56.93</v>
      </c>
      <c r="G196" s="25">
        <v>39.020000000000003</v>
      </c>
      <c r="H196" s="25">
        <v>14.66</v>
      </c>
      <c r="I196" s="25">
        <v>230.42</v>
      </c>
      <c r="J196" s="25">
        <v>12.02</v>
      </c>
      <c r="K196" s="25">
        <v>253.97</v>
      </c>
      <c r="L196" s="25">
        <v>178.3</v>
      </c>
      <c r="M196" s="25">
        <v>177.67</v>
      </c>
      <c r="N196" s="25">
        <v>57209.7</v>
      </c>
      <c r="O196" s="25">
        <v>5203.58</v>
      </c>
      <c r="P196" s="23">
        <f t="shared" si="32"/>
        <v>1.1190053285968116E-2</v>
      </c>
      <c r="Q196" s="23">
        <f t="shared" si="33"/>
        <v>4.1173443129183251E-3</v>
      </c>
      <c r="R196" s="23">
        <f t="shared" si="34"/>
        <v>1.453287197231834E-2</v>
      </c>
      <c r="S196" s="23">
        <f t="shared" si="35"/>
        <v>1.3726352837659439E-2</v>
      </c>
      <c r="T196" s="23">
        <f t="shared" si="36"/>
        <v>2.5020850708923348E-3</v>
      </c>
      <c r="U196" s="23">
        <f t="shared" si="37"/>
        <v>2.6805207406808362E-2</v>
      </c>
      <c r="V196" s="23">
        <f t="shared" si="38"/>
        <v>-7.8459740693339608E-3</v>
      </c>
      <c r="W196" s="23">
        <f t="shared" si="39"/>
        <v>2.9195388982216297E-2</v>
      </c>
      <c r="X196" s="23">
        <f t="shared" si="40"/>
        <v>1.1620344550395068E-2</v>
      </c>
      <c r="Y196" s="23">
        <f t="shared" si="41"/>
        <v>-2.7998213940082506E-3</v>
      </c>
    </row>
    <row r="197" spans="1:25" x14ac:dyDescent="0.3">
      <c r="A197" s="2">
        <f t="shared" si="42"/>
        <v>194</v>
      </c>
      <c r="B197" s="3">
        <v>45376</v>
      </c>
      <c r="C197" s="13">
        <f t="shared" si="43"/>
        <v>2024</v>
      </c>
      <c r="D197" s="13">
        <f t="shared" si="44"/>
        <v>3</v>
      </c>
      <c r="E197" s="24">
        <v>16.672999999999998</v>
      </c>
      <c r="F197" s="25">
        <v>56.3</v>
      </c>
      <c r="G197" s="25">
        <v>38.86</v>
      </c>
      <c r="H197" s="25">
        <v>14.45</v>
      </c>
      <c r="I197" s="25">
        <v>227.3</v>
      </c>
      <c r="J197" s="25">
        <v>11.99</v>
      </c>
      <c r="K197" s="25">
        <v>247.34</v>
      </c>
      <c r="L197" s="25">
        <v>179.71</v>
      </c>
      <c r="M197" s="25">
        <v>172.63</v>
      </c>
      <c r="N197" s="25">
        <v>56552.54</v>
      </c>
      <c r="O197" s="25">
        <v>5218.1899999999996</v>
      </c>
      <c r="P197" s="23">
        <f t="shared" ref="P197:P255" si="45">F197/F198-1</f>
        <v>-1.7758835020431629E-4</v>
      </c>
      <c r="Q197" s="23">
        <f t="shared" ref="Q197:Q255" si="46">G197/G198-1</f>
        <v>-9.1789903110657267E-3</v>
      </c>
      <c r="R197" s="23">
        <f t="shared" ref="R197:R255" si="47">H197/H198-1</f>
        <v>3.4722222222220989E-3</v>
      </c>
      <c r="S197" s="23">
        <f t="shared" ref="S197:S255" si="48">I197/I198-1</f>
        <v>2.120585856770596E-2</v>
      </c>
      <c r="T197" s="23">
        <f t="shared" ref="T197:T255" si="49">J197/J198-1</f>
        <v>-1.7213114754098258E-2</v>
      </c>
      <c r="U197" s="23">
        <f t="shared" ref="U197:U255" si="50">K197/K198-1</f>
        <v>-3.5050964908747151E-3</v>
      </c>
      <c r="V197" s="23">
        <f t="shared" ref="V197:V255" si="51">L197/L198-1</f>
        <v>4.6961480404763556E-3</v>
      </c>
      <c r="W197" s="23">
        <f t="shared" ref="W197:W255" si="52">M197/M198-1</f>
        <v>1.0536790961774845E-2</v>
      </c>
      <c r="X197" s="23">
        <f t="shared" ref="X197:X255" si="53">N197/N198-1</f>
        <v>-1.0245441926538534E-3</v>
      </c>
      <c r="Y197" s="23">
        <f t="shared" ref="Y197:Y255" si="54">O197/O198-1</f>
        <v>-3.0549197773100945E-3</v>
      </c>
    </row>
    <row r="198" spans="1:25" x14ac:dyDescent="0.3">
      <c r="A198" s="2">
        <f t="shared" si="42"/>
        <v>195</v>
      </c>
      <c r="B198" s="3">
        <v>45373</v>
      </c>
      <c r="C198" s="13">
        <f t="shared" si="43"/>
        <v>2024</v>
      </c>
      <c r="D198" s="13">
        <f t="shared" si="44"/>
        <v>3</v>
      </c>
      <c r="E198" s="24">
        <v>16.757000000000001</v>
      </c>
      <c r="F198" s="25">
        <v>56.31</v>
      </c>
      <c r="G198" s="25">
        <v>39.22</v>
      </c>
      <c r="H198" s="25">
        <v>14.4</v>
      </c>
      <c r="I198" s="25">
        <v>222.58</v>
      </c>
      <c r="J198" s="25">
        <v>12.2</v>
      </c>
      <c r="K198" s="25">
        <v>248.21</v>
      </c>
      <c r="L198" s="25">
        <v>178.87</v>
      </c>
      <c r="M198" s="25">
        <v>170.83</v>
      </c>
      <c r="N198" s="25">
        <v>56610.54</v>
      </c>
      <c r="O198" s="25">
        <v>5234.18</v>
      </c>
      <c r="P198" s="23">
        <f t="shared" si="45"/>
        <v>-8.871540099361086E-4</v>
      </c>
      <c r="Q198" s="23">
        <f t="shared" si="46"/>
        <v>9.264024704065843E-3</v>
      </c>
      <c r="R198" s="23">
        <f t="shared" si="47"/>
        <v>1.1946591707659771E-2</v>
      </c>
      <c r="S198" s="23">
        <f t="shared" si="48"/>
        <v>-2.6717390353753978E-2</v>
      </c>
      <c r="T198" s="23">
        <f t="shared" si="49"/>
        <v>4.1152263374484299E-3</v>
      </c>
      <c r="U198" s="23">
        <f t="shared" si="50"/>
        <v>3.1672139324161463E-2</v>
      </c>
      <c r="V198" s="23">
        <f t="shared" si="51"/>
        <v>4.041538029750269E-3</v>
      </c>
      <c r="W198" s="23">
        <f t="shared" si="52"/>
        <v>-1.1514870964008717E-2</v>
      </c>
      <c r="X198" s="23">
        <f t="shared" si="53"/>
        <v>-8.2778184118448284E-4</v>
      </c>
      <c r="Y198" s="23">
        <f t="shared" si="54"/>
        <v>-1.4022623165372838E-3</v>
      </c>
    </row>
    <row r="199" spans="1:25" x14ac:dyDescent="0.3">
      <c r="A199" s="2">
        <f t="shared" si="42"/>
        <v>196</v>
      </c>
      <c r="B199" s="3">
        <v>45372</v>
      </c>
      <c r="C199" s="13">
        <f t="shared" si="43"/>
        <v>2024</v>
      </c>
      <c r="D199" s="13">
        <f t="shared" si="44"/>
        <v>3</v>
      </c>
      <c r="E199" s="24">
        <v>16.735199999999999</v>
      </c>
      <c r="F199" s="25">
        <v>56.36</v>
      </c>
      <c r="G199" s="25">
        <v>38.86</v>
      </c>
      <c r="H199" s="25">
        <v>14.23</v>
      </c>
      <c r="I199" s="25">
        <v>228.69</v>
      </c>
      <c r="J199" s="25">
        <v>12.15</v>
      </c>
      <c r="K199" s="25">
        <v>240.59</v>
      </c>
      <c r="L199" s="25">
        <v>178.15</v>
      </c>
      <c r="M199" s="25">
        <v>172.82</v>
      </c>
      <c r="N199" s="25">
        <v>56657.440000000002</v>
      </c>
      <c r="O199" s="25">
        <v>5241.53</v>
      </c>
      <c r="P199" s="23">
        <f t="shared" si="45"/>
        <v>5.3257589206467948E-4</v>
      </c>
      <c r="Q199" s="23">
        <f t="shared" si="46"/>
        <v>-6.1381074168798122E-3</v>
      </c>
      <c r="R199" s="23">
        <f t="shared" si="47"/>
        <v>1.0653409090909172E-2</v>
      </c>
      <c r="S199" s="23">
        <f t="shared" si="48"/>
        <v>9.758036029671624E-3</v>
      </c>
      <c r="T199" s="23">
        <f t="shared" si="49"/>
        <v>2.3588879528222417E-2</v>
      </c>
      <c r="U199" s="23">
        <f t="shared" si="50"/>
        <v>1.0401930598318287E-3</v>
      </c>
      <c r="V199" s="23">
        <f t="shared" si="51"/>
        <v>0</v>
      </c>
      <c r="W199" s="23">
        <f t="shared" si="52"/>
        <v>-1.6167596493225522E-2</v>
      </c>
      <c r="X199" s="23">
        <f t="shared" si="53"/>
        <v>6.9642150969273509E-4</v>
      </c>
      <c r="Y199" s="23">
        <f t="shared" si="54"/>
        <v>3.2365990253835353E-3</v>
      </c>
    </row>
    <row r="200" spans="1:25" x14ac:dyDescent="0.3">
      <c r="A200" s="2">
        <f t="shared" si="42"/>
        <v>197</v>
      </c>
      <c r="B200" s="3">
        <v>45371</v>
      </c>
      <c r="C200" s="13">
        <f t="shared" si="43"/>
        <v>2024</v>
      </c>
      <c r="D200" s="13">
        <f t="shared" si="44"/>
        <v>3</v>
      </c>
      <c r="E200" s="24">
        <v>16.673300000000001</v>
      </c>
      <c r="F200" s="25">
        <v>56.33</v>
      </c>
      <c r="G200" s="25">
        <v>39.1</v>
      </c>
      <c r="H200" s="25">
        <v>14.08</v>
      </c>
      <c r="I200" s="25">
        <v>226.48</v>
      </c>
      <c r="J200" s="25">
        <v>11.87</v>
      </c>
      <c r="K200" s="25">
        <v>240.34</v>
      </c>
      <c r="L200" s="25">
        <v>178.15</v>
      </c>
      <c r="M200" s="25">
        <v>175.66</v>
      </c>
      <c r="N200" s="25">
        <v>56618.01</v>
      </c>
      <c r="O200" s="25">
        <v>5224.62</v>
      </c>
      <c r="P200" s="23">
        <f t="shared" si="45"/>
        <v>1.8809911376379107E-2</v>
      </c>
      <c r="Q200" s="23">
        <f t="shared" si="46"/>
        <v>1.584827227851382E-2</v>
      </c>
      <c r="R200" s="23">
        <f t="shared" si="47"/>
        <v>1.0043041606886627E-2</v>
      </c>
      <c r="S200" s="23">
        <f t="shared" si="48"/>
        <v>2.3499638467100459E-2</v>
      </c>
      <c r="T200" s="23">
        <f t="shared" si="49"/>
        <v>3.1277150304083401E-2</v>
      </c>
      <c r="U200" s="23">
        <f t="shared" si="50"/>
        <v>2.1462875600323006E-2</v>
      </c>
      <c r="V200" s="23">
        <f t="shared" si="51"/>
        <v>1.2791358726549129E-2</v>
      </c>
      <c r="W200" s="23">
        <f t="shared" si="52"/>
        <v>2.5332710716787332E-2</v>
      </c>
      <c r="X200" s="23">
        <f t="shared" si="53"/>
        <v>1.9261515296571163E-2</v>
      </c>
      <c r="Y200" s="23">
        <f t="shared" si="54"/>
        <v>8.9041056211149883E-3</v>
      </c>
    </row>
    <row r="201" spans="1:25" x14ac:dyDescent="0.3">
      <c r="A201" s="2">
        <f t="shared" si="42"/>
        <v>198</v>
      </c>
      <c r="B201" s="3">
        <v>45370</v>
      </c>
      <c r="C201" s="13">
        <f t="shared" si="43"/>
        <v>2024</v>
      </c>
      <c r="D201" s="13">
        <f t="shared" si="44"/>
        <v>3</v>
      </c>
      <c r="E201" s="24">
        <v>16.802</v>
      </c>
      <c r="F201" s="25">
        <v>55.29</v>
      </c>
      <c r="G201" s="25">
        <v>38.49</v>
      </c>
      <c r="H201" s="25">
        <v>13.94</v>
      </c>
      <c r="I201" s="25">
        <v>221.28</v>
      </c>
      <c r="J201" s="25">
        <v>11.51</v>
      </c>
      <c r="K201" s="25">
        <v>235.29</v>
      </c>
      <c r="L201" s="25">
        <v>175.9</v>
      </c>
      <c r="M201" s="25">
        <v>171.32</v>
      </c>
      <c r="N201" s="25">
        <v>55548.07</v>
      </c>
      <c r="O201" s="25">
        <v>5178.51</v>
      </c>
      <c r="P201" s="23">
        <f t="shared" si="45"/>
        <v>-1.2502232541525271E-2</v>
      </c>
      <c r="Q201" s="23">
        <f t="shared" si="46"/>
        <v>-1.8153526970954292E-3</v>
      </c>
      <c r="R201" s="23">
        <f t="shared" si="47"/>
        <v>-1.7618040873854879E-2</v>
      </c>
      <c r="S201" s="23">
        <f t="shared" si="48"/>
        <v>-3.6320877972302101E-2</v>
      </c>
      <c r="T201" s="23">
        <f t="shared" si="49"/>
        <v>-1.7079419299743881E-2</v>
      </c>
      <c r="U201" s="23">
        <f t="shared" si="50"/>
        <v>-2.1703879256579794E-2</v>
      </c>
      <c r="V201" s="23">
        <f t="shared" si="51"/>
        <v>8.4852654512097558E-3</v>
      </c>
      <c r="W201" s="23">
        <f t="shared" si="52"/>
        <v>4.7380326465733313E-2</v>
      </c>
      <c r="X201" s="23">
        <f t="shared" si="53"/>
        <v>-1.2099401725818248E-2</v>
      </c>
      <c r="Y201" s="23">
        <f t="shared" si="54"/>
        <v>1.2002915719676599E-2</v>
      </c>
    </row>
    <row r="202" spans="1:25" x14ac:dyDescent="0.3">
      <c r="A202" s="2">
        <f t="shared" si="42"/>
        <v>199</v>
      </c>
      <c r="B202" s="3">
        <v>45366</v>
      </c>
      <c r="C202" s="13">
        <f t="shared" si="43"/>
        <v>2024</v>
      </c>
      <c r="D202" s="13">
        <f t="shared" si="44"/>
        <v>3</v>
      </c>
      <c r="E202" s="24">
        <v>16.693000000000001</v>
      </c>
      <c r="F202" s="25">
        <v>55.99</v>
      </c>
      <c r="G202" s="25">
        <v>38.56</v>
      </c>
      <c r="H202" s="25">
        <v>14.19</v>
      </c>
      <c r="I202" s="25">
        <v>229.62</v>
      </c>
      <c r="J202" s="25">
        <v>11.71</v>
      </c>
      <c r="K202" s="25">
        <v>240.51</v>
      </c>
      <c r="L202" s="25">
        <v>174.42</v>
      </c>
      <c r="M202" s="25">
        <v>163.57</v>
      </c>
      <c r="N202" s="25">
        <v>56228.4</v>
      </c>
      <c r="O202" s="25">
        <v>5117.09</v>
      </c>
      <c r="P202" s="23">
        <f t="shared" si="45"/>
        <v>4.1248206599713289E-3</v>
      </c>
      <c r="Q202" s="23">
        <f t="shared" si="46"/>
        <v>-2.3285899094436235E-3</v>
      </c>
      <c r="R202" s="23">
        <f t="shared" si="47"/>
        <v>1.0683760683760646E-2</v>
      </c>
      <c r="S202" s="23">
        <f t="shared" si="48"/>
        <v>2.894784011471585E-2</v>
      </c>
      <c r="T202" s="23">
        <f t="shared" si="49"/>
        <v>-1.5966386554621792E-2</v>
      </c>
      <c r="U202" s="23">
        <f t="shared" si="50"/>
        <v>1.0588680196646827E-2</v>
      </c>
      <c r="V202" s="23">
        <f t="shared" si="51"/>
        <v>-2.422377622377625E-2</v>
      </c>
      <c r="W202" s="23">
        <f t="shared" si="52"/>
        <v>6.584615384615411E-3</v>
      </c>
      <c r="X202" s="23">
        <f t="shared" si="53"/>
        <v>3.0171643364540479E-3</v>
      </c>
      <c r="Y202" s="23">
        <f t="shared" si="54"/>
        <v>-6.4828909150214109E-3</v>
      </c>
    </row>
    <row r="203" spans="1:25" x14ac:dyDescent="0.3">
      <c r="A203" s="2">
        <f t="shared" si="42"/>
        <v>200</v>
      </c>
      <c r="B203" s="3">
        <v>45365</v>
      </c>
      <c r="C203" s="13">
        <f t="shared" si="43"/>
        <v>2024</v>
      </c>
      <c r="D203" s="13">
        <f t="shared" si="44"/>
        <v>3</v>
      </c>
      <c r="E203" s="24">
        <v>16.696000000000002</v>
      </c>
      <c r="F203" s="25">
        <v>55.76</v>
      </c>
      <c r="G203" s="25">
        <v>38.65</v>
      </c>
      <c r="H203" s="25">
        <v>14.04</v>
      </c>
      <c r="I203" s="25">
        <v>223.16</v>
      </c>
      <c r="J203" s="25">
        <v>11.9</v>
      </c>
      <c r="K203" s="25">
        <v>237.99</v>
      </c>
      <c r="L203" s="25">
        <v>178.75</v>
      </c>
      <c r="M203" s="25">
        <v>162.5</v>
      </c>
      <c r="N203" s="25">
        <v>56059.26</v>
      </c>
      <c r="O203" s="25">
        <v>5150.4799999999996</v>
      </c>
      <c r="P203" s="23">
        <f t="shared" si="45"/>
        <v>3.2385750269880997E-3</v>
      </c>
      <c r="Q203" s="23">
        <f t="shared" si="46"/>
        <v>-1.5788133435192364E-2</v>
      </c>
      <c r="R203" s="23">
        <f t="shared" si="47"/>
        <v>3.616236162361619E-2</v>
      </c>
      <c r="S203" s="23">
        <f t="shared" si="48"/>
        <v>7.1306074555463894E-3</v>
      </c>
      <c r="T203" s="23">
        <f t="shared" si="49"/>
        <v>-3.4090909090909061E-2</v>
      </c>
      <c r="U203" s="23">
        <f t="shared" si="50"/>
        <v>2.3040880367966254E-2</v>
      </c>
      <c r="V203" s="23">
        <f t="shared" si="51"/>
        <v>1.2461059190031154E-2</v>
      </c>
      <c r="W203" s="23">
        <f t="shared" si="52"/>
        <v>-4.1184800566438473E-2</v>
      </c>
      <c r="X203" s="23">
        <f t="shared" si="53"/>
        <v>3.7698267749020076E-3</v>
      </c>
      <c r="Y203" s="23">
        <f t="shared" si="54"/>
        <v>-2.871076469757039E-3</v>
      </c>
    </row>
    <row r="204" spans="1:25" x14ac:dyDescent="0.3">
      <c r="A204" s="2">
        <f t="shared" si="42"/>
        <v>201</v>
      </c>
      <c r="B204" s="3">
        <v>45364</v>
      </c>
      <c r="C204" s="13">
        <f t="shared" si="43"/>
        <v>2024</v>
      </c>
      <c r="D204" s="13">
        <f t="shared" si="44"/>
        <v>3</v>
      </c>
      <c r="E204" s="24">
        <v>16.659500000000001</v>
      </c>
      <c r="F204" s="25">
        <v>55.58</v>
      </c>
      <c r="G204" s="25">
        <v>39.270000000000003</v>
      </c>
      <c r="H204" s="25">
        <v>13.55</v>
      </c>
      <c r="I204" s="25">
        <v>221.58</v>
      </c>
      <c r="J204" s="25">
        <v>12.32</v>
      </c>
      <c r="K204" s="25">
        <v>232.63</v>
      </c>
      <c r="L204" s="25">
        <v>176.55</v>
      </c>
      <c r="M204" s="25">
        <v>169.48</v>
      </c>
      <c r="N204" s="25">
        <v>55848.72</v>
      </c>
      <c r="O204" s="25">
        <v>5165.3100000000004</v>
      </c>
      <c r="P204" s="23">
        <f t="shared" si="45"/>
        <v>1.6831320892791934E-2</v>
      </c>
      <c r="Q204" s="23">
        <f t="shared" si="46"/>
        <v>1.7857142857142794E-3</v>
      </c>
      <c r="R204" s="23">
        <f t="shared" si="47"/>
        <v>1.4781966001480296E-3</v>
      </c>
      <c r="S204" s="23">
        <f t="shared" si="48"/>
        <v>2.1718079955733938E-2</v>
      </c>
      <c r="T204" s="23">
        <f t="shared" si="49"/>
        <v>2.3255813953488413E-2</v>
      </c>
      <c r="U204" s="23">
        <f t="shared" si="50"/>
        <v>1.5142258683888965E-2</v>
      </c>
      <c r="V204" s="23">
        <f t="shared" si="51"/>
        <v>6.6138320314728105E-3</v>
      </c>
      <c r="W204" s="23">
        <f t="shared" si="52"/>
        <v>-4.5398220119409749E-2</v>
      </c>
      <c r="X204" s="23">
        <f t="shared" si="53"/>
        <v>1.730033088064542E-2</v>
      </c>
      <c r="Y204" s="23">
        <f t="shared" si="54"/>
        <v>-1.9245372705192221E-3</v>
      </c>
    </row>
    <row r="205" spans="1:25" x14ac:dyDescent="0.3">
      <c r="A205" s="2">
        <f t="shared" si="42"/>
        <v>202</v>
      </c>
      <c r="B205" s="3">
        <v>45363</v>
      </c>
      <c r="C205" s="13">
        <f t="shared" si="43"/>
        <v>2024</v>
      </c>
      <c r="D205" s="13">
        <f t="shared" si="44"/>
        <v>3</v>
      </c>
      <c r="E205" s="24">
        <v>16.794499999999999</v>
      </c>
      <c r="F205" s="25">
        <v>54.66</v>
      </c>
      <c r="G205" s="25">
        <v>39.200000000000003</v>
      </c>
      <c r="H205" s="25">
        <v>13.53</v>
      </c>
      <c r="I205" s="25">
        <v>216.87</v>
      </c>
      <c r="J205" s="25">
        <v>12.04</v>
      </c>
      <c r="K205" s="25">
        <v>229.16</v>
      </c>
      <c r="L205" s="25">
        <v>175.39</v>
      </c>
      <c r="M205" s="25">
        <v>177.54</v>
      </c>
      <c r="N205" s="25">
        <v>54898.95</v>
      </c>
      <c r="O205" s="25">
        <v>5175.2700000000004</v>
      </c>
      <c r="P205" s="23">
        <f t="shared" si="45"/>
        <v>-2.3726957473991783E-3</v>
      </c>
      <c r="Q205" s="23">
        <f t="shared" si="46"/>
        <v>-6.8406384595894876E-3</v>
      </c>
      <c r="R205" s="23">
        <f t="shared" si="47"/>
        <v>-7.3367571533383691E-3</v>
      </c>
      <c r="S205" s="23">
        <f t="shared" si="48"/>
        <v>8.6507604297474394E-3</v>
      </c>
      <c r="T205" s="23">
        <f t="shared" si="49"/>
        <v>-2.0341741253051215E-2</v>
      </c>
      <c r="U205" s="23">
        <f t="shared" si="50"/>
        <v>3.8549150166462542E-3</v>
      </c>
      <c r="V205" s="23">
        <f t="shared" si="51"/>
        <v>1.9946499185857114E-2</v>
      </c>
      <c r="W205" s="23">
        <f t="shared" si="52"/>
        <v>-1.2938066040389939E-3</v>
      </c>
      <c r="X205" s="23">
        <f t="shared" si="53"/>
        <v>-3.216820647496732E-3</v>
      </c>
      <c r="Y205" s="23">
        <f t="shared" si="54"/>
        <v>1.1201772588189884E-2</v>
      </c>
    </row>
    <row r="206" spans="1:25" x14ac:dyDescent="0.3">
      <c r="A206" s="2">
        <f t="shared" si="42"/>
        <v>203</v>
      </c>
      <c r="B206" s="3">
        <v>45362</v>
      </c>
      <c r="C206" s="13">
        <f t="shared" si="43"/>
        <v>2024</v>
      </c>
      <c r="D206" s="13">
        <f t="shared" si="44"/>
        <v>3</v>
      </c>
      <c r="E206" s="24">
        <v>16.779</v>
      </c>
      <c r="F206" s="25">
        <v>54.79</v>
      </c>
      <c r="G206" s="25">
        <v>39.47</v>
      </c>
      <c r="H206" s="25">
        <v>13.63</v>
      </c>
      <c r="I206" s="25">
        <v>215.01</v>
      </c>
      <c r="J206" s="25">
        <v>12.29</v>
      </c>
      <c r="K206" s="25">
        <v>228.28</v>
      </c>
      <c r="L206" s="25">
        <v>171.96</v>
      </c>
      <c r="M206" s="25">
        <v>177.77</v>
      </c>
      <c r="N206" s="25">
        <v>55076.12</v>
      </c>
      <c r="O206" s="25">
        <v>5117.9399999999996</v>
      </c>
      <c r="P206" s="23">
        <f t="shared" si="45"/>
        <v>1.8284878405558924E-3</v>
      </c>
      <c r="Q206" s="23">
        <f t="shared" si="46"/>
        <v>-2.7791814047498642E-3</v>
      </c>
      <c r="R206" s="23">
        <f t="shared" si="47"/>
        <v>2.3273273273273221E-2</v>
      </c>
      <c r="S206" s="23">
        <f t="shared" si="48"/>
        <v>6.6953834628709075E-3</v>
      </c>
      <c r="T206" s="23">
        <f t="shared" si="49"/>
        <v>-8.0710250201776468E-3</v>
      </c>
      <c r="U206" s="23">
        <f t="shared" si="50"/>
        <v>-1.4435064082936044E-3</v>
      </c>
      <c r="V206" s="23">
        <f t="shared" si="51"/>
        <v>-1.933276304533782E-2</v>
      </c>
      <c r="W206" s="23">
        <f t="shared" si="52"/>
        <v>1.3858788639215192E-2</v>
      </c>
      <c r="X206" s="23">
        <f t="shared" si="53"/>
        <v>2.5507868339134099E-3</v>
      </c>
      <c r="Y206" s="23">
        <f t="shared" si="54"/>
        <v>-1.1222380745127269E-3</v>
      </c>
    </row>
    <row r="207" spans="1:25" x14ac:dyDescent="0.3">
      <c r="A207" s="2">
        <f t="shared" si="42"/>
        <v>204</v>
      </c>
      <c r="B207" s="3">
        <v>45359</v>
      </c>
      <c r="C207" s="13">
        <f t="shared" si="43"/>
        <v>2024</v>
      </c>
      <c r="D207" s="13">
        <f t="shared" si="44"/>
        <v>3</v>
      </c>
      <c r="E207" s="24">
        <v>16.808900000000001</v>
      </c>
      <c r="F207" s="25">
        <v>54.69</v>
      </c>
      <c r="G207" s="25">
        <v>39.58</v>
      </c>
      <c r="H207" s="25">
        <v>13.32</v>
      </c>
      <c r="I207" s="25">
        <v>213.58</v>
      </c>
      <c r="J207" s="25">
        <v>12.39</v>
      </c>
      <c r="K207" s="25">
        <v>228.61</v>
      </c>
      <c r="L207" s="25">
        <v>175.35</v>
      </c>
      <c r="M207" s="25">
        <v>175.34</v>
      </c>
      <c r="N207" s="25">
        <v>54935.99</v>
      </c>
      <c r="O207" s="25">
        <v>5123.6899999999996</v>
      </c>
      <c r="P207" s="23">
        <f t="shared" si="45"/>
        <v>-2.1893814997263616E-3</v>
      </c>
      <c r="Q207" s="23">
        <f t="shared" si="46"/>
        <v>-4.2767295597484489E-3</v>
      </c>
      <c r="R207" s="23">
        <f t="shared" si="47"/>
        <v>-4.484304932735439E-3</v>
      </c>
      <c r="S207" s="23">
        <f t="shared" si="48"/>
        <v>-1.1224394350387579E-3</v>
      </c>
      <c r="T207" s="23">
        <f t="shared" si="49"/>
        <v>-2.4154589371979673E-3</v>
      </c>
      <c r="U207" s="23">
        <f t="shared" si="50"/>
        <v>6.5657007791308786E-4</v>
      </c>
      <c r="V207" s="23">
        <f t="shared" si="51"/>
        <v>-8.3135391923990776E-3</v>
      </c>
      <c r="W207" s="23">
        <f t="shared" si="52"/>
        <v>-1.8527847746991344E-2</v>
      </c>
      <c r="X207" s="23">
        <f t="shared" si="53"/>
        <v>-2.0617811354837201E-3</v>
      </c>
      <c r="Y207" s="23">
        <f t="shared" si="54"/>
        <v>-6.5285339786247398E-3</v>
      </c>
    </row>
    <row r="208" spans="1:25" x14ac:dyDescent="0.3">
      <c r="A208" s="2">
        <f t="shared" si="42"/>
        <v>205</v>
      </c>
      <c r="B208" s="3">
        <v>45358</v>
      </c>
      <c r="C208" s="13">
        <f t="shared" si="43"/>
        <v>2024</v>
      </c>
      <c r="D208" s="13">
        <f t="shared" si="44"/>
        <v>3</v>
      </c>
      <c r="E208" s="24">
        <v>16.87</v>
      </c>
      <c r="F208" s="25">
        <v>54.81</v>
      </c>
      <c r="G208" s="25">
        <v>39.75</v>
      </c>
      <c r="H208" s="25">
        <v>13.38</v>
      </c>
      <c r="I208" s="25">
        <v>213.82</v>
      </c>
      <c r="J208" s="25">
        <v>12.42</v>
      </c>
      <c r="K208" s="25">
        <v>228.46</v>
      </c>
      <c r="L208" s="25">
        <v>176.82</v>
      </c>
      <c r="M208" s="25">
        <v>178.65</v>
      </c>
      <c r="N208" s="25">
        <v>55049.49</v>
      </c>
      <c r="O208" s="25">
        <v>5157.3599999999997</v>
      </c>
      <c r="P208" s="23">
        <f t="shared" si="45"/>
        <v>-3.2733224222586399E-3</v>
      </c>
      <c r="Q208" s="23">
        <f t="shared" si="46"/>
        <v>9.395632300660095E-3</v>
      </c>
      <c r="R208" s="23">
        <f t="shared" si="47"/>
        <v>8.2893745290129051E-3</v>
      </c>
      <c r="S208" s="23">
        <f t="shared" si="48"/>
        <v>-7.7958236658932645E-3</v>
      </c>
      <c r="T208" s="23">
        <f t="shared" si="49"/>
        <v>-2.5117739403453743E-2</v>
      </c>
      <c r="U208" s="23">
        <f t="shared" si="50"/>
        <v>-5.4416438117627086E-3</v>
      </c>
      <c r="V208" s="23">
        <f t="shared" si="51"/>
        <v>1.9076710276064723E-2</v>
      </c>
      <c r="W208" s="23">
        <f t="shared" si="52"/>
        <v>1.1951965560213162E-2</v>
      </c>
      <c r="X208" s="23">
        <f t="shared" si="53"/>
        <v>-4.2511003534263514E-3</v>
      </c>
      <c r="Y208" s="23">
        <f t="shared" si="54"/>
        <v>1.0304108322428451E-2</v>
      </c>
    </row>
    <row r="209" spans="1:25" x14ac:dyDescent="0.3">
      <c r="A209" s="2">
        <f t="shared" si="42"/>
        <v>206</v>
      </c>
      <c r="B209" s="3">
        <v>45357</v>
      </c>
      <c r="C209" s="13">
        <f t="shared" si="43"/>
        <v>2024</v>
      </c>
      <c r="D209" s="13">
        <f t="shared" si="44"/>
        <v>3</v>
      </c>
      <c r="E209" s="24">
        <v>16.876999999999999</v>
      </c>
      <c r="F209" s="25">
        <v>54.99</v>
      </c>
      <c r="G209" s="25">
        <v>39.380000000000003</v>
      </c>
      <c r="H209" s="25">
        <v>13.27</v>
      </c>
      <c r="I209" s="25">
        <v>215.5</v>
      </c>
      <c r="J209" s="25">
        <v>12.74</v>
      </c>
      <c r="K209" s="25">
        <v>229.71</v>
      </c>
      <c r="L209" s="25">
        <v>173.51</v>
      </c>
      <c r="M209" s="25">
        <v>176.54</v>
      </c>
      <c r="N209" s="25">
        <v>55284.51</v>
      </c>
      <c r="O209" s="25">
        <v>5104.76</v>
      </c>
      <c r="P209" s="23">
        <f t="shared" si="45"/>
        <v>-4.8859934853419107E-3</v>
      </c>
      <c r="Q209" s="23">
        <f t="shared" si="46"/>
        <v>-4.2983565107457267E-3</v>
      </c>
      <c r="R209" s="23">
        <f t="shared" si="47"/>
        <v>1.2977099236641143E-2</v>
      </c>
      <c r="S209" s="23">
        <f t="shared" si="48"/>
        <v>-6.7751302023321136E-3</v>
      </c>
      <c r="T209" s="23">
        <f t="shared" si="49"/>
        <v>3.6615134255492343E-2</v>
      </c>
      <c r="U209" s="23">
        <f t="shared" si="50"/>
        <v>6.4405888538381362E-3</v>
      </c>
      <c r="V209" s="23">
        <f t="shared" si="51"/>
        <v>-3.5033310360671477E-3</v>
      </c>
      <c r="W209" s="23">
        <f t="shared" si="52"/>
        <v>-2.323780015491872E-2</v>
      </c>
      <c r="X209" s="23">
        <f t="shared" si="53"/>
        <v>-3.4562538023027445E-3</v>
      </c>
      <c r="Y209" s="23">
        <f t="shared" si="54"/>
        <v>5.1411300247115044E-3</v>
      </c>
    </row>
    <row r="210" spans="1:25" x14ac:dyDescent="0.3">
      <c r="A210" s="2">
        <f t="shared" si="42"/>
        <v>207</v>
      </c>
      <c r="B210" s="3">
        <v>45356</v>
      </c>
      <c r="C210" s="13">
        <f t="shared" si="43"/>
        <v>2024</v>
      </c>
      <c r="D210" s="13">
        <f t="shared" si="44"/>
        <v>3</v>
      </c>
      <c r="E210" s="24">
        <v>16.942599999999999</v>
      </c>
      <c r="F210" s="25">
        <v>55.26</v>
      </c>
      <c r="G210" s="25">
        <v>39.549999999999997</v>
      </c>
      <c r="H210" s="25">
        <v>13.1</v>
      </c>
      <c r="I210" s="25">
        <v>216.97</v>
      </c>
      <c r="J210" s="25">
        <v>12.29</v>
      </c>
      <c r="K210" s="25">
        <v>228.24</v>
      </c>
      <c r="L210" s="25">
        <v>174.12</v>
      </c>
      <c r="M210" s="25">
        <v>180.74</v>
      </c>
      <c r="N210" s="25">
        <v>55476.25</v>
      </c>
      <c r="O210" s="25">
        <v>5078.6499999999996</v>
      </c>
      <c r="P210" s="23">
        <f t="shared" si="45"/>
        <v>1.9945602901179083E-3</v>
      </c>
      <c r="Q210" s="23">
        <f t="shared" si="46"/>
        <v>1.7730496453900457E-3</v>
      </c>
      <c r="R210" s="23">
        <f t="shared" si="47"/>
        <v>-9.8261526832955637E-3</v>
      </c>
      <c r="S210" s="23">
        <f t="shared" si="48"/>
        <v>1.6872100107794052E-2</v>
      </c>
      <c r="T210" s="23">
        <f t="shared" si="49"/>
        <v>1.8227009113504389E-2</v>
      </c>
      <c r="U210" s="23">
        <f t="shared" si="50"/>
        <v>-1.8997679016590663E-2</v>
      </c>
      <c r="V210" s="23">
        <f t="shared" si="51"/>
        <v>-1.9484176145962429E-2</v>
      </c>
      <c r="W210" s="23">
        <f t="shared" si="52"/>
        <v>-3.9332412033591835E-2</v>
      </c>
      <c r="X210" s="23">
        <f t="shared" si="53"/>
        <v>2.4809560479521764E-4</v>
      </c>
      <c r="Y210" s="23">
        <f t="shared" si="54"/>
        <v>-1.0193044173106403E-2</v>
      </c>
    </row>
    <row r="211" spans="1:25" x14ac:dyDescent="0.3">
      <c r="A211" s="2">
        <f t="shared" si="42"/>
        <v>208</v>
      </c>
      <c r="B211" s="3">
        <v>45355</v>
      </c>
      <c r="C211" s="13">
        <f t="shared" si="43"/>
        <v>2024</v>
      </c>
      <c r="D211" s="13">
        <f t="shared" si="44"/>
        <v>3</v>
      </c>
      <c r="E211" s="24">
        <v>16.96</v>
      </c>
      <c r="F211" s="25">
        <v>55.15</v>
      </c>
      <c r="G211" s="25">
        <v>39.479999999999997</v>
      </c>
      <c r="H211" s="25">
        <v>13.23</v>
      </c>
      <c r="I211" s="25">
        <v>213.37</v>
      </c>
      <c r="J211" s="25">
        <v>12.07</v>
      </c>
      <c r="K211" s="25">
        <v>232.66</v>
      </c>
      <c r="L211" s="25">
        <v>177.58</v>
      </c>
      <c r="M211" s="25">
        <v>188.14</v>
      </c>
      <c r="N211" s="25">
        <v>55462.49</v>
      </c>
      <c r="O211" s="25">
        <v>5130.95</v>
      </c>
      <c r="P211" s="23">
        <f t="shared" si="45"/>
        <v>-2.3516642547033451E-3</v>
      </c>
      <c r="Q211" s="23">
        <f t="shared" si="46"/>
        <v>-7.790902236742947E-3</v>
      </c>
      <c r="R211" s="23">
        <f t="shared" si="47"/>
        <v>-1.2686567164179152E-2</v>
      </c>
      <c r="S211" s="23">
        <f t="shared" si="48"/>
        <v>-1.9033607650222883E-2</v>
      </c>
      <c r="T211" s="23">
        <f t="shared" si="49"/>
        <v>-2.425222312045261E-2</v>
      </c>
      <c r="U211" s="23">
        <f t="shared" si="50"/>
        <v>-3.3803986710963518E-2</v>
      </c>
      <c r="V211" s="23">
        <f t="shared" si="51"/>
        <v>-3.5910672202894567E-3</v>
      </c>
      <c r="W211" s="23">
        <f t="shared" si="52"/>
        <v>-7.1555467824713781E-2</v>
      </c>
      <c r="X211" s="23">
        <f t="shared" si="53"/>
        <v>-1.3294002915569259E-3</v>
      </c>
      <c r="Y211" s="23">
        <f t="shared" si="54"/>
        <v>-1.1932849011501157E-3</v>
      </c>
    </row>
    <row r="212" spans="1:25" x14ac:dyDescent="0.3">
      <c r="A212" s="2">
        <f t="shared" si="42"/>
        <v>209</v>
      </c>
      <c r="B212" s="3">
        <v>45352</v>
      </c>
      <c r="C212" s="13">
        <f t="shared" si="43"/>
        <v>2024</v>
      </c>
      <c r="D212" s="13">
        <f t="shared" si="44"/>
        <v>3</v>
      </c>
      <c r="E212" s="24">
        <v>17.0108</v>
      </c>
      <c r="F212" s="25">
        <v>55.28</v>
      </c>
      <c r="G212" s="25">
        <v>39.79</v>
      </c>
      <c r="H212" s="25">
        <v>13.4</v>
      </c>
      <c r="I212" s="25">
        <v>217.51</v>
      </c>
      <c r="J212" s="25">
        <v>12.37</v>
      </c>
      <c r="K212" s="25">
        <v>240.8</v>
      </c>
      <c r="L212" s="25">
        <v>178.22</v>
      </c>
      <c r="M212" s="25">
        <v>202.64</v>
      </c>
      <c r="N212" s="25">
        <v>55536.32</v>
      </c>
      <c r="O212" s="25">
        <v>5137.08</v>
      </c>
      <c r="P212" s="23">
        <f t="shared" si="45"/>
        <v>1.8122508155129502E-3</v>
      </c>
      <c r="Q212" s="23">
        <f t="shared" si="46"/>
        <v>-1.5056461731494108E-3</v>
      </c>
      <c r="R212" s="23">
        <f t="shared" si="47"/>
        <v>2.8396009209516571E-2</v>
      </c>
      <c r="S212" s="23">
        <f t="shared" si="48"/>
        <v>1.8400599307051069E-2</v>
      </c>
      <c r="T212" s="23">
        <f t="shared" si="49"/>
        <v>-2.4193548387098085E-3</v>
      </c>
      <c r="U212" s="23">
        <f t="shared" si="50"/>
        <v>-2.0307513780097874E-3</v>
      </c>
      <c r="V212" s="23">
        <f t="shared" si="51"/>
        <v>8.2597872821905671E-3</v>
      </c>
      <c r="W212" s="23">
        <f t="shared" si="52"/>
        <v>3.7646126411730041E-3</v>
      </c>
      <c r="X212" s="23">
        <f t="shared" si="53"/>
        <v>2.2073844154906208E-3</v>
      </c>
      <c r="Y212" s="23">
        <f t="shared" si="54"/>
        <v>8.0078174821975878E-3</v>
      </c>
    </row>
    <row r="213" spans="1:25" x14ac:dyDescent="0.3">
      <c r="A213" s="2">
        <f t="shared" si="42"/>
        <v>210</v>
      </c>
      <c r="B213" s="3">
        <v>45351</v>
      </c>
      <c r="C213" s="13">
        <f t="shared" si="43"/>
        <v>2024</v>
      </c>
      <c r="D213" s="13">
        <f t="shared" si="44"/>
        <v>2</v>
      </c>
      <c r="E213" s="24">
        <v>17.048999999999999</v>
      </c>
      <c r="F213" s="25">
        <v>55.18</v>
      </c>
      <c r="G213" s="25">
        <v>39.85</v>
      </c>
      <c r="H213" s="25">
        <v>13.03</v>
      </c>
      <c r="I213" s="25">
        <v>213.58</v>
      </c>
      <c r="J213" s="25">
        <v>12.4</v>
      </c>
      <c r="K213" s="25">
        <v>241.29</v>
      </c>
      <c r="L213" s="25">
        <v>176.76</v>
      </c>
      <c r="M213" s="25">
        <v>201.88</v>
      </c>
      <c r="N213" s="25">
        <v>55414</v>
      </c>
      <c r="O213" s="25">
        <v>5096.2700000000004</v>
      </c>
      <c r="P213" s="23">
        <f t="shared" si="45"/>
        <v>2.1794406102433328E-3</v>
      </c>
      <c r="Q213" s="23">
        <f t="shared" si="46"/>
        <v>-2.5087807325629985E-4</v>
      </c>
      <c r="R213" s="23">
        <f t="shared" si="47"/>
        <v>-1.2878787878787823E-2</v>
      </c>
      <c r="S213" s="23">
        <f t="shared" si="48"/>
        <v>-1.5427048758822615E-3</v>
      </c>
      <c r="T213" s="23">
        <f t="shared" si="49"/>
        <v>-6.4102564102563875E-3</v>
      </c>
      <c r="U213" s="23">
        <f t="shared" si="50"/>
        <v>9.9619103428068012E-3</v>
      </c>
      <c r="V213" s="23">
        <f t="shared" si="51"/>
        <v>2.079002079002068E-2</v>
      </c>
      <c r="W213" s="23">
        <f t="shared" si="52"/>
        <v>-7.9192239160563727E-4</v>
      </c>
      <c r="X213" s="23">
        <f t="shared" si="53"/>
        <v>1.1452448310866892E-3</v>
      </c>
      <c r="Y213" s="23">
        <f t="shared" si="54"/>
        <v>5.229044372909275E-3</v>
      </c>
    </row>
    <row r="214" spans="1:25" x14ac:dyDescent="0.3">
      <c r="A214" s="2">
        <f t="shared" si="42"/>
        <v>211</v>
      </c>
      <c r="B214" s="3">
        <v>45350</v>
      </c>
      <c r="C214" s="13">
        <f t="shared" si="43"/>
        <v>2024</v>
      </c>
      <c r="D214" s="13">
        <f t="shared" si="44"/>
        <v>2</v>
      </c>
      <c r="E214" s="24">
        <v>17.0898</v>
      </c>
      <c r="F214" s="25">
        <v>55.06</v>
      </c>
      <c r="G214" s="25">
        <v>39.86</v>
      </c>
      <c r="H214" s="25">
        <v>13.2</v>
      </c>
      <c r="I214" s="25">
        <v>213.91</v>
      </c>
      <c r="J214" s="25">
        <v>12.48</v>
      </c>
      <c r="K214" s="25">
        <v>238.91</v>
      </c>
      <c r="L214" s="25">
        <v>173.16</v>
      </c>
      <c r="M214" s="25">
        <v>202.04</v>
      </c>
      <c r="N214" s="25">
        <v>55350.61</v>
      </c>
      <c r="O214" s="25">
        <v>5069.76</v>
      </c>
      <c r="P214" s="23">
        <f t="shared" si="45"/>
        <v>-1.5907059874888274E-2</v>
      </c>
      <c r="Q214" s="23">
        <f t="shared" si="46"/>
        <v>-3.8359469240048294E-2</v>
      </c>
      <c r="R214" s="23">
        <f t="shared" si="47"/>
        <v>-3.3674963396779001E-2</v>
      </c>
      <c r="S214" s="23">
        <f t="shared" si="48"/>
        <v>-1.1597819055540137E-2</v>
      </c>
      <c r="T214" s="23">
        <f t="shared" si="49"/>
        <v>-7.1599045346062429E-3</v>
      </c>
      <c r="U214" s="23">
        <f t="shared" si="50"/>
        <v>-2.7516587291895545E-2</v>
      </c>
      <c r="V214" s="23">
        <f t="shared" si="51"/>
        <v>-2.1896968998501576E-3</v>
      </c>
      <c r="W214" s="23">
        <f t="shared" si="52"/>
        <v>1.1565613578330858E-2</v>
      </c>
      <c r="X214" s="23">
        <f t="shared" si="53"/>
        <v>-1.5832213599217493E-2</v>
      </c>
      <c r="Y214" s="23">
        <f t="shared" si="54"/>
        <v>-1.6580743494716277E-3</v>
      </c>
    </row>
    <row r="215" spans="1:25" x14ac:dyDescent="0.3">
      <c r="A215" s="2">
        <f t="shared" si="42"/>
        <v>212</v>
      </c>
      <c r="B215" s="3">
        <v>45349</v>
      </c>
      <c r="C215" s="13">
        <f t="shared" si="43"/>
        <v>2024</v>
      </c>
      <c r="D215" s="13">
        <f t="shared" si="44"/>
        <v>2</v>
      </c>
      <c r="E215" s="24">
        <v>17.058700000000002</v>
      </c>
      <c r="F215" s="25">
        <v>55.95</v>
      </c>
      <c r="G215" s="25">
        <v>41.45</v>
      </c>
      <c r="H215" s="25">
        <v>13.66</v>
      </c>
      <c r="I215" s="25">
        <v>216.42</v>
      </c>
      <c r="J215" s="25">
        <v>12.57</v>
      </c>
      <c r="K215" s="25">
        <v>245.67</v>
      </c>
      <c r="L215" s="25">
        <v>173.54</v>
      </c>
      <c r="M215" s="25">
        <v>199.73</v>
      </c>
      <c r="N215" s="25">
        <v>56241.03</v>
      </c>
      <c r="O215" s="25">
        <v>5078.18</v>
      </c>
      <c r="P215" s="23">
        <f t="shared" si="45"/>
        <v>1.0735373054213682E-3</v>
      </c>
      <c r="Q215" s="23">
        <f t="shared" si="46"/>
        <v>-1.0031048483400862E-2</v>
      </c>
      <c r="R215" s="23">
        <f t="shared" si="47"/>
        <v>-1.6558675305975545E-2</v>
      </c>
      <c r="S215" s="23">
        <f t="shared" si="48"/>
        <v>8.5278903956380603E-3</v>
      </c>
      <c r="T215" s="23">
        <f t="shared" si="49"/>
        <v>3.9936102236421966E-3</v>
      </c>
      <c r="U215" s="23">
        <f t="shared" si="50"/>
        <v>-1.0990338164251323E-2</v>
      </c>
      <c r="V215" s="23">
        <f t="shared" si="51"/>
        <v>-6.8105076403593978E-3</v>
      </c>
      <c r="W215" s="23">
        <f t="shared" si="52"/>
        <v>1.6549648946839746E-3</v>
      </c>
      <c r="X215" s="23">
        <f t="shared" si="53"/>
        <v>8.2409877653977226E-4</v>
      </c>
      <c r="Y215" s="23">
        <f t="shared" si="54"/>
        <v>1.7062725735916828E-3</v>
      </c>
    </row>
    <row r="216" spans="1:25" x14ac:dyDescent="0.3">
      <c r="A216" s="2">
        <f t="shared" si="42"/>
        <v>213</v>
      </c>
      <c r="B216" s="3">
        <v>45348</v>
      </c>
      <c r="C216" s="13">
        <f t="shared" si="43"/>
        <v>2024</v>
      </c>
      <c r="D216" s="13">
        <f t="shared" si="44"/>
        <v>2</v>
      </c>
      <c r="E216" s="24">
        <v>17.0944</v>
      </c>
      <c r="F216" s="25">
        <v>55.89</v>
      </c>
      <c r="G216" s="25">
        <v>41.87</v>
      </c>
      <c r="H216" s="25">
        <v>13.89</v>
      </c>
      <c r="I216" s="25">
        <v>214.59</v>
      </c>
      <c r="J216" s="25">
        <v>12.52</v>
      </c>
      <c r="K216" s="25">
        <v>248.4</v>
      </c>
      <c r="L216" s="25">
        <v>174.73</v>
      </c>
      <c r="M216" s="25">
        <v>199.4</v>
      </c>
      <c r="N216" s="25">
        <v>56194.720000000001</v>
      </c>
      <c r="O216" s="25">
        <v>5069.53</v>
      </c>
      <c r="P216" s="23">
        <f t="shared" si="45"/>
        <v>-9.0425531914892776E-3</v>
      </c>
      <c r="Q216" s="23">
        <f t="shared" si="46"/>
        <v>-9.9314258689997548E-3</v>
      </c>
      <c r="R216" s="23">
        <f t="shared" si="47"/>
        <v>-7.1479628305932685E-3</v>
      </c>
      <c r="S216" s="23">
        <f t="shared" si="48"/>
        <v>4.0707467714766743E-3</v>
      </c>
      <c r="T216" s="23">
        <f t="shared" si="49"/>
        <v>-8.7094220110848219E-3</v>
      </c>
      <c r="U216" s="23">
        <f t="shared" si="50"/>
        <v>-1.3228459063282072E-2</v>
      </c>
      <c r="V216" s="23">
        <f t="shared" si="51"/>
        <v>-1.4857991885252053E-3</v>
      </c>
      <c r="W216" s="23">
        <f t="shared" si="52"/>
        <v>3.8703964161066917E-2</v>
      </c>
      <c r="X216" s="23">
        <f t="shared" si="53"/>
        <v>-8.2082887691097284E-3</v>
      </c>
      <c r="Y216" s="23">
        <f t="shared" si="54"/>
        <v>-3.7867473667663187E-3</v>
      </c>
    </row>
    <row r="217" spans="1:25" x14ac:dyDescent="0.3">
      <c r="A217" s="2">
        <f t="shared" si="42"/>
        <v>214</v>
      </c>
      <c r="B217" s="3">
        <v>45345</v>
      </c>
      <c r="C217" s="13">
        <f t="shared" si="43"/>
        <v>2024</v>
      </c>
      <c r="D217" s="13">
        <f t="shared" si="44"/>
        <v>2</v>
      </c>
      <c r="E217" s="24">
        <v>17.106999999999999</v>
      </c>
      <c r="F217" s="25">
        <v>56.4</v>
      </c>
      <c r="G217" s="25">
        <v>42.29</v>
      </c>
      <c r="H217" s="25">
        <v>13.99</v>
      </c>
      <c r="I217" s="25">
        <v>213.72</v>
      </c>
      <c r="J217" s="25">
        <v>12.63</v>
      </c>
      <c r="K217" s="25">
        <v>251.73</v>
      </c>
      <c r="L217" s="25">
        <v>174.99</v>
      </c>
      <c r="M217" s="25">
        <v>191.97</v>
      </c>
      <c r="N217" s="25">
        <v>56659.8</v>
      </c>
      <c r="O217" s="25">
        <v>5088.8</v>
      </c>
      <c r="P217" s="23">
        <f t="shared" si="45"/>
        <v>-7.9155672823219003E-3</v>
      </c>
      <c r="Q217" s="23">
        <f t="shared" si="46"/>
        <v>3.3214709371294227E-3</v>
      </c>
      <c r="R217" s="23">
        <f t="shared" si="47"/>
        <v>2.116788321167884E-2</v>
      </c>
      <c r="S217" s="23">
        <f t="shared" si="48"/>
        <v>3.6158722704859869E-3</v>
      </c>
      <c r="T217" s="23">
        <f t="shared" si="49"/>
        <v>0</v>
      </c>
      <c r="U217" s="23">
        <f t="shared" si="50"/>
        <v>-5.8842113577126653E-3</v>
      </c>
      <c r="V217" s="23">
        <f t="shared" si="51"/>
        <v>2.3484935273228036E-3</v>
      </c>
      <c r="W217" s="23">
        <f t="shared" si="52"/>
        <v>-2.7556861354541273E-2</v>
      </c>
      <c r="X217" s="23">
        <f t="shared" si="53"/>
        <v>-8.555395719204939E-3</v>
      </c>
      <c r="Y217" s="23">
        <f t="shared" si="54"/>
        <v>3.4794369209545373E-4</v>
      </c>
    </row>
    <row r="218" spans="1:25" x14ac:dyDescent="0.3">
      <c r="A218" s="2">
        <f t="shared" si="42"/>
        <v>215</v>
      </c>
      <c r="B218" s="3">
        <v>45344</v>
      </c>
      <c r="C218" s="13">
        <f t="shared" si="43"/>
        <v>2024</v>
      </c>
      <c r="D218" s="13">
        <f t="shared" si="44"/>
        <v>2</v>
      </c>
      <c r="E218" s="24">
        <v>17.097999999999999</v>
      </c>
      <c r="F218" s="25">
        <v>56.85</v>
      </c>
      <c r="G218" s="25">
        <v>42.15</v>
      </c>
      <c r="H218" s="25">
        <v>13.7</v>
      </c>
      <c r="I218" s="25">
        <v>212.95</v>
      </c>
      <c r="J218" s="25">
        <v>12.63</v>
      </c>
      <c r="K218" s="25">
        <v>253.22</v>
      </c>
      <c r="L218" s="25">
        <v>174.58</v>
      </c>
      <c r="M218" s="25">
        <v>197.41</v>
      </c>
      <c r="N218" s="25">
        <v>57148.73</v>
      </c>
      <c r="O218" s="25">
        <v>5087.03</v>
      </c>
      <c r="P218" s="23">
        <f t="shared" si="45"/>
        <v>2.1152829190904665E-3</v>
      </c>
      <c r="Q218" s="23">
        <f t="shared" si="46"/>
        <v>1.3708513708513781E-2</v>
      </c>
      <c r="R218" s="23">
        <f t="shared" si="47"/>
        <v>1.2564671101256364E-2</v>
      </c>
      <c r="S218" s="23">
        <f t="shared" si="48"/>
        <v>-1.0409405641526148E-2</v>
      </c>
      <c r="T218" s="23">
        <f t="shared" si="49"/>
        <v>5.5732484076433941E-3</v>
      </c>
      <c r="U218" s="23">
        <f t="shared" si="50"/>
        <v>1.8379247938869803E-2</v>
      </c>
      <c r="V218" s="23">
        <f t="shared" si="51"/>
        <v>3.5529983984815328E-2</v>
      </c>
      <c r="W218" s="23">
        <f t="shared" si="52"/>
        <v>1.3554448837089783E-2</v>
      </c>
      <c r="X218" s="23">
        <f t="shared" si="53"/>
        <v>2.2395246104816025E-3</v>
      </c>
      <c r="Y218" s="23">
        <f t="shared" si="54"/>
        <v>2.1122887309807714E-2</v>
      </c>
    </row>
    <row r="219" spans="1:25" x14ac:dyDescent="0.3">
      <c r="A219" s="2">
        <f t="shared" si="42"/>
        <v>216</v>
      </c>
      <c r="B219" s="3">
        <v>45343</v>
      </c>
      <c r="C219" s="13">
        <f t="shared" si="43"/>
        <v>2024</v>
      </c>
      <c r="D219" s="13">
        <f t="shared" si="44"/>
        <v>2</v>
      </c>
      <c r="E219" s="24">
        <v>17.0382</v>
      </c>
      <c r="F219" s="25">
        <v>56.73</v>
      </c>
      <c r="G219" s="25">
        <v>41.58</v>
      </c>
      <c r="H219" s="25">
        <v>13.53</v>
      </c>
      <c r="I219" s="25">
        <v>215.19</v>
      </c>
      <c r="J219" s="25">
        <v>12.56</v>
      </c>
      <c r="K219" s="25">
        <v>248.65</v>
      </c>
      <c r="L219" s="25">
        <v>168.59</v>
      </c>
      <c r="M219" s="25">
        <v>194.77</v>
      </c>
      <c r="N219" s="25">
        <v>57021.03</v>
      </c>
      <c r="O219" s="25">
        <v>4981.8</v>
      </c>
      <c r="P219" s="23">
        <f t="shared" si="45"/>
        <v>-2.9876977152900608E-3</v>
      </c>
      <c r="Q219" s="23">
        <f t="shared" si="46"/>
        <v>-2.0955968919237122E-2</v>
      </c>
      <c r="R219" s="23">
        <f t="shared" si="47"/>
        <v>6.6964285714286031E-3</v>
      </c>
      <c r="S219" s="23">
        <f t="shared" si="48"/>
        <v>-3.0576789437108953E-3</v>
      </c>
      <c r="T219" s="23">
        <f t="shared" si="49"/>
        <v>-2.8615622583139877E-2</v>
      </c>
      <c r="U219" s="23">
        <f t="shared" si="50"/>
        <v>-1.5247524752475261E-2</v>
      </c>
      <c r="V219" s="23">
        <f t="shared" si="51"/>
        <v>9.0375867847736213E-3</v>
      </c>
      <c r="W219" s="23">
        <f t="shared" si="52"/>
        <v>5.2126341866227666E-3</v>
      </c>
      <c r="X219" s="23">
        <f t="shared" si="53"/>
        <v>-3.6108406999620923E-3</v>
      </c>
      <c r="Y219" s="23">
        <f t="shared" si="54"/>
        <v>1.2641920124771833E-3</v>
      </c>
    </row>
    <row r="220" spans="1:25" x14ac:dyDescent="0.3">
      <c r="A220" s="2">
        <f t="shared" si="42"/>
        <v>217</v>
      </c>
      <c r="B220" s="3">
        <v>45342</v>
      </c>
      <c r="C220" s="13">
        <f t="shared" si="43"/>
        <v>2024</v>
      </c>
      <c r="D220" s="13">
        <f t="shared" si="44"/>
        <v>2</v>
      </c>
      <c r="E220" s="24">
        <v>17.047999999999998</v>
      </c>
      <c r="F220" s="25">
        <v>56.9</v>
      </c>
      <c r="G220" s="25">
        <v>42.47</v>
      </c>
      <c r="H220" s="25">
        <v>13.44</v>
      </c>
      <c r="I220" s="25">
        <v>215.85</v>
      </c>
      <c r="J220" s="25">
        <v>12.93</v>
      </c>
      <c r="K220" s="25">
        <v>252.5</v>
      </c>
      <c r="L220" s="25">
        <v>167.08</v>
      </c>
      <c r="M220" s="25">
        <v>193.76</v>
      </c>
      <c r="N220" s="25">
        <v>57227.67</v>
      </c>
      <c r="O220" s="25">
        <v>4975.51</v>
      </c>
      <c r="P220" s="23">
        <f t="shared" si="45"/>
        <v>-2.2795020164826374E-3</v>
      </c>
      <c r="Q220" s="23">
        <f t="shared" si="46"/>
        <v>-5.8520599250936334E-3</v>
      </c>
      <c r="R220" s="23">
        <f t="shared" si="47"/>
        <v>-3.7064492216457579E-3</v>
      </c>
      <c r="S220" s="23">
        <f t="shared" si="48"/>
        <v>-1.0044028618602097E-2</v>
      </c>
      <c r="T220" s="23">
        <f t="shared" si="49"/>
        <v>1.491365777080067E-2</v>
      </c>
      <c r="U220" s="23">
        <f t="shared" si="50"/>
        <v>1.8555869302137928E-2</v>
      </c>
      <c r="V220" s="23">
        <f t="shared" si="51"/>
        <v>-1.4335437437319243E-2</v>
      </c>
      <c r="W220" s="23">
        <f t="shared" si="52"/>
        <v>-3.0957739434858689E-2</v>
      </c>
      <c r="X220" s="23">
        <f t="shared" si="53"/>
        <v>-4.563920191407167E-3</v>
      </c>
      <c r="Y220" s="23">
        <f t="shared" si="54"/>
        <v>-6.0053100845657292E-3</v>
      </c>
    </row>
    <row r="221" spans="1:25" x14ac:dyDescent="0.3">
      <c r="A221" s="2">
        <f t="shared" si="42"/>
        <v>218</v>
      </c>
      <c r="B221" s="3">
        <v>45341</v>
      </c>
      <c r="C221" s="13">
        <f t="shared" si="43"/>
        <v>2024</v>
      </c>
      <c r="D221" s="13">
        <f t="shared" si="44"/>
        <v>2</v>
      </c>
      <c r="E221" s="24">
        <v>17.041</v>
      </c>
      <c r="F221" s="25">
        <v>57.03</v>
      </c>
      <c r="G221" s="25">
        <v>42.72</v>
      </c>
      <c r="H221" s="25">
        <v>13.49</v>
      </c>
      <c r="I221" s="25">
        <v>218.04</v>
      </c>
      <c r="J221" s="25">
        <v>12.74</v>
      </c>
      <c r="K221" s="25">
        <v>247.9</v>
      </c>
      <c r="L221" s="25">
        <v>169.51</v>
      </c>
      <c r="M221" s="25">
        <v>199.95</v>
      </c>
      <c r="N221" s="25">
        <v>57490.05</v>
      </c>
      <c r="O221" s="25">
        <v>5005.57</v>
      </c>
      <c r="P221" s="23">
        <f t="shared" si="45"/>
        <v>4.0492957746478542E-3</v>
      </c>
      <c r="Q221" s="23">
        <f t="shared" si="46"/>
        <v>7.0721357850069833E-3</v>
      </c>
      <c r="R221" s="23">
        <f t="shared" si="47"/>
        <v>5.2160953800297616E-3</v>
      </c>
      <c r="S221" s="23">
        <f t="shared" si="48"/>
        <v>6.462333825701716E-3</v>
      </c>
      <c r="T221" s="23">
        <f t="shared" si="49"/>
        <v>-7.8431372549014888E-4</v>
      </c>
      <c r="U221" s="23">
        <f t="shared" si="50"/>
        <v>-2.8985507246376829E-2</v>
      </c>
      <c r="V221" s="23">
        <f t="shared" si="51"/>
        <v>0</v>
      </c>
      <c r="W221" s="23">
        <f t="shared" si="52"/>
        <v>0</v>
      </c>
      <c r="X221" s="23">
        <f t="shared" si="53"/>
        <v>6.2651283140076064E-3</v>
      </c>
      <c r="Y221" s="23">
        <f t="shared" si="54"/>
        <v>0</v>
      </c>
    </row>
    <row r="222" spans="1:25" x14ac:dyDescent="0.3">
      <c r="A222" s="2">
        <f t="shared" si="42"/>
        <v>219</v>
      </c>
      <c r="B222" s="3">
        <v>45338</v>
      </c>
      <c r="C222" s="13">
        <f t="shared" si="43"/>
        <v>2024</v>
      </c>
      <c r="D222" s="13">
        <f t="shared" si="44"/>
        <v>2</v>
      </c>
      <c r="E222" s="24">
        <v>17.050999999999998</v>
      </c>
      <c r="F222" s="25">
        <v>56.8</v>
      </c>
      <c r="G222" s="25">
        <v>42.42</v>
      </c>
      <c r="H222" s="25">
        <v>13.42</v>
      </c>
      <c r="I222" s="25">
        <v>216.64</v>
      </c>
      <c r="J222" s="25">
        <v>12.75</v>
      </c>
      <c r="K222" s="25">
        <v>255.3</v>
      </c>
      <c r="L222" s="25">
        <v>169.51</v>
      </c>
      <c r="M222" s="25">
        <v>199.95</v>
      </c>
      <c r="N222" s="25">
        <v>57132.11</v>
      </c>
      <c r="O222" s="25">
        <v>5005.57</v>
      </c>
      <c r="P222" s="23">
        <f t="shared" si="45"/>
        <v>-1.9328764716218805E-3</v>
      </c>
      <c r="Q222" s="23">
        <f t="shared" si="46"/>
        <v>-5.6258790436004569E-3</v>
      </c>
      <c r="R222" s="23">
        <f t="shared" si="47"/>
        <v>1.7437452615618021E-2</v>
      </c>
      <c r="S222" s="23">
        <f t="shared" si="48"/>
        <v>-1.3845940831680448E-4</v>
      </c>
      <c r="T222" s="23">
        <f t="shared" si="49"/>
        <v>5.5205047318611644E-3</v>
      </c>
      <c r="U222" s="23">
        <f t="shared" si="50"/>
        <v>9.8019996079190541E-4</v>
      </c>
      <c r="V222" s="23">
        <f t="shared" si="51"/>
        <v>-1.7078916372204045E-3</v>
      </c>
      <c r="W222" s="23">
        <f t="shared" si="52"/>
        <v>-2.49438762783738E-3</v>
      </c>
      <c r="X222" s="23">
        <f t="shared" si="53"/>
        <v>-2.0921580056134648E-3</v>
      </c>
      <c r="Y222" s="23">
        <f t="shared" si="54"/>
        <v>-4.8034387531735723E-3</v>
      </c>
    </row>
    <row r="223" spans="1:25" x14ac:dyDescent="0.3">
      <c r="A223" s="2">
        <f t="shared" si="42"/>
        <v>220</v>
      </c>
      <c r="B223" s="3">
        <v>45337</v>
      </c>
      <c r="C223" s="13">
        <f t="shared" si="43"/>
        <v>2024</v>
      </c>
      <c r="D223" s="13">
        <f t="shared" si="44"/>
        <v>2</v>
      </c>
      <c r="E223" s="24">
        <v>17.039000000000001</v>
      </c>
      <c r="F223" s="25">
        <v>56.91</v>
      </c>
      <c r="G223" s="25">
        <v>42.66</v>
      </c>
      <c r="H223" s="25">
        <v>13.19</v>
      </c>
      <c r="I223" s="25">
        <v>216.67</v>
      </c>
      <c r="J223" s="25">
        <v>12.68</v>
      </c>
      <c r="K223" s="25">
        <v>255.05</v>
      </c>
      <c r="L223" s="25">
        <v>169.8</v>
      </c>
      <c r="M223" s="25">
        <v>200.45</v>
      </c>
      <c r="N223" s="25">
        <v>57251.89</v>
      </c>
      <c r="O223" s="25">
        <v>5029.7299999999996</v>
      </c>
      <c r="P223" s="23">
        <f t="shared" si="45"/>
        <v>-1.756851721715913E-4</v>
      </c>
      <c r="Q223" s="23">
        <f t="shared" si="46"/>
        <v>5.1837888784165287E-3</v>
      </c>
      <c r="R223" s="23">
        <f t="shared" si="47"/>
        <v>1.3056835637480724E-2</v>
      </c>
      <c r="S223" s="23">
        <f t="shared" si="48"/>
        <v>-6.4572667312401411E-4</v>
      </c>
      <c r="T223" s="23">
        <f t="shared" si="49"/>
        <v>1.9292604501607746E-2</v>
      </c>
      <c r="U223" s="23">
        <f t="shared" si="50"/>
        <v>-2.0346676057440005E-3</v>
      </c>
      <c r="V223" s="23">
        <f t="shared" si="51"/>
        <v>-6.9013919756695241E-3</v>
      </c>
      <c r="W223" s="23">
        <f t="shared" si="52"/>
        <v>6.2211859466906771E-2</v>
      </c>
      <c r="X223" s="23">
        <f t="shared" si="53"/>
        <v>5.9739587800367033E-5</v>
      </c>
      <c r="Y223" s="23">
        <f t="shared" si="54"/>
        <v>5.8212781615079034E-3</v>
      </c>
    </row>
    <row r="224" spans="1:25" x14ac:dyDescent="0.3">
      <c r="A224" s="2">
        <f t="shared" si="42"/>
        <v>221</v>
      </c>
      <c r="B224" s="3">
        <v>45336</v>
      </c>
      <c r="C224" s="13">
        <f t="shared" si="43"/>
        <v>2024</v>
      </c>
      <c r="D224" s="13">
        <f t="shared" si="44"/>
        <v>2</v>
      </c>
      <c r="E224" s="24">
        <v>17.073</v>
      </c>
      <c r="F224" s="25">
        <v>56.92</v>
      </c>
      <c r="G224" s="25">
        <v>42.44</v>
      </c>
      <c r="H224" s="25">
        <v>13.02</v>
      </c>
      <c r="I224" s="25">
        <v>216.81</v>
      </c>
      <c r="J224" s="25">
        <v>12.44</v>
      </c>
      <c r="K224" s="25">
        <v>255.57</v>
      </c>
      <c r="L224" s="25">
        <v>170.98</v>
      </c>
      <c r="M224" s="25">
        <v>188.71</v>
      </c>
      <c r="N224" s="25">
        <v>57248.47</v>
      </c>
      <c r="O224" s="25">
        <v>5000.62</v>
      </c>
      <c r="P224" s="23">
        <f t="shared" si="45"/>
        <v>5.1209606215787407E-3</v>
      </c>
      <c r="Q224" s="23">
        <f t="shared" si="46"/>
        <v>3.546937810356976E-3</v>
      </c>
      <c r="R224" s="23">
        <f t="shared" si="47"/>
        <v>-8.3777608530084535E-3</v>
      </c>
      <c r="S224" s="23">
        <f t="shared" si="48"/>
        <v>8.3248069946981751E-3</v>
      </c>
      <c r="T224" s="23">
        <f t="shared" si="49"/>
        <v>1.7170891251022002E-2</v>
      </c>
      <c r="U224" s="23">
        <f t="shared" si="50"/>
        <v>-1.0454175862469439E-2</v>
      </c>
      <c r="V224" s="23">
        <f t="shared" si="51"/>
        <v>1.3875711574952598E-2</v>
      </c>
      <c r="W224" s="23">
        <f t="shared" si="52"/>
        <v>2.5486360178241574E-2</v>
      </c>
      <c r="X224" s="23">
        <f t="shared" si="53"/>
        <v>6.0006688106328809E-3</v>
      </c>
      <c r="Y224" s="23">
        <f t="shared" si="54"/>
        <v>9.5797236921002504E-3</v>
      </c>
    </row>
    <row r="225" spans="1:25" x14ac:dyDescent="0.3">
      <c r="A225" s="2">
        <f t="shared" si="42"/>
        <v>222</v>
      </c>
      <c r="B225" s="3">
        <v>45335</v>
      </c>
      <c r="C225" s="13">
        <f t="shared" si="43"/>
        <v>2024</v>
      </c>
      <c r="D225" s="13">
        <f t="shared" si="44"/>
        <v>2</v>
      </c>
      <c r="E225" s="24">
        <v>17.175000000000001</v>
      </c>
      <c r="F225" s="25">
        <v>56.63</v>
      </c>
      <c r="G225" s="25">
        <v>42.29</v>
      </c>
      <c r="H225" s="25">
        <v>13.13</v>
      </c>
      <c r="I225" s="25">
        <v>215.02</v>
      </c>
      <c r="J225" s="25">
        <v>12.23</v>
      </c>
      <c r="K225" s="25">
        <v>258.27</v>
      </c>
      <c r="L225" s="25">
        <v>168.64</v>
      </c>
      <c r="M225" s="25">
        <v>184.02</v>
      </c>
      <c r="N225" s="25">
        <v>56906.99</v>
      </c>
      <c r="O225" s="25">
        <v>4953.17</v>
      </c>
      <c r="P225" s="23">
        <f t="shared" si="45"/>
        <v>-8.231173380034984E-3</v>
      </c>
      <c r="Q225" s="23">
        <f t="shared" si="46"/>
        <v>-1.6053978594695151E-2</v>
      </c>
      <c r="R225" s="23">
        <f t="shared" si="47"/>
        <v>-1.3523666416228375E-2</v>
      </c>
      <c r="S225" s="23">
        <f t="shared" si="48"/>
        <v>-1.4438282073612196E-2</v>
      </c>
      <c r="T225" s="23">
        <f t="shared" si="49"/>
        <v>-5.1937984496124079E-2</v>
      </c>
      <c r="U225" s="23">
        <f t="shared" si="50"/>
        <v>-9.3590579571171117E-3</v>
      </c>
      <c r="V225" s="23">
        <f t="shared" si="51"/>
        <v>-2.1469188812812012E-2</v>
      </c>
      <c r="W225" s="23">
        <f t="shared" si="52"/>
        <v>-2.1846595439323768E-2</v>
      </c>
      <c r="X225" s="23">
        <f t="shared" si="53"/>
        <v>-8.9093158918155391E-3</v>
      </c>
      <c r="Y225" s="23">
        <f t="shared" si="54"/>
        <v>-1.3674270785210219E-2</v>
      </c>
    </row>
    <row r="226" spans="1:25" x14ac:dyDescent="0.3">
      <c r="A226" s="2">
        <f t="shared" si="42"/>
        <v>223</v>
      </c>
      <c r="B226" s="3">
        <v>45334</v>
      </c>
      <c r="C226" s="13">
        <f t="shared" si="43"/>
        <v>2024</v>
      </c>
      <c r="D226" s="13">
        <f t="shared" si="44"/>
        <v>2</v>
      </c>
      <c r="E226" s="24">
        <v>17.064399999999999</v>
      </c>
      <c r="F226" s="25">
        <v>57.1</v>
      </c>
      <c r="G226" s="25">
        <v>42.98</v>
      </c>
      <c r="H226" s="25">
        <v>13.31</v>
      </c>
      <c r="I226" s="25">
        <v>218.17</v>
      </c>
      <c r="J226" s="25">
        <v>12.9</v>
      </c>
      <c r="K226" s="25">
        <v>260.70999999999998</v>
      </c>
      <c r="L226" s="25">
        <v>172.34</v>
      </c>
      <c r="M226" s="25">
        <v>188.13</v>
      </c>
      <c r="N226" s="25">
        <v>57418.55</v>
      </c>
      <c r="O226" s="25">
        <v>5021.84</v>
      </c>
      <c r="P226" s="23">
        <f t="shared" si="45"/>
        <v>1.578670408700189E-3</v>
      </c>
      <c r="Q226" s="23">
        <f t="shared" si="46"/>
        <v>8.6834076507862346E-3</v>
      </c>
      <c r="R226" s="23">
        <f t="shared" si="47"/>
        <v>1.3709063214013772E-2</v>
      </c>
      <c r="S226" s="23">
        <f t="shared" si="48"/>
        <v>1.2061047455582896E-2</v>
      </c>
      <c r="T226" s="23">
        <f t="shared" si="49"/>
        <v>7.0257611241217877E-3</v>
      </c>
      <c r="U226" s="23">
        <f t="shared" si="50"/>
        <v>-2.8216788429998529E-2</v>
      </c>
      <c r="V226" s="23">
        <f t="shared" si="51"/>
        <v>-1.2095156205216284E-2</v>
      </c>
      <c r="W226" s="23">
        <f t="shared" si="52"/>
        <v>-2.8103528439324288E-2</v>
      </c>
      <c r="X226" s="23">
        <f t="shared" si="53"/>
        <v>1.5882429898390615E-3</v>
      </c>
      <c r="Y226" s="23">
        <f t="shared" si="54"/>
        <v>-9.4894968975101079E-4</v>
      </c>
    </row>
    <row r="227" spans="1:25" x14ac:dyDescent="0.3">
      <c r="A227" s="2">
        <f t="shared" si="42"/>
        <v>224</v>
      </c>
      <c r="B227" s="3">
        <v>45331</v>
      </c>
      <c r="C227" s="13">
        <f t="shared" si="43"/>
        <v>2024</v>
      </c>
      <c r="D227" s="13">
        <f t="shared" si="44"/>
        <v>2</v>
      </c>
      <c r="E227" s="24">
        <v>17.076000000000001</v>
      </c>
      <c r="F227" s="25">
        <v>57.01</v>
      </c>
      <c r="G227" s="25">
        <v>42.61</v>
      </c>
      <c r="H227" s="25">
        <v>13.13</v>
      </c>
      <c r="I227" s="25">
        <v>215.57</v>
      </c>
      <c r="J227" s="25">
        <v>12.81</v>
      </c>
      <c r="K227" s="25">
        <v>268.27999999999997</v>
      </c>
      <c r="L227" s="25">
        <v>174.45</v>
      </c>
      <c r="M227" s="25">
        <v>193.57</v>
      </c>
      <c r="N227" s="25">
        <v>57327.5</v>
      </c>
      <c r="O227" s="25">
        <v>5026.6099999999997</v>
      </c>
      <c r="P227" s="23">
        <f t="shared" si="45"/>
        <v>-7.140369209334807E-3</v>
      </c>
      <c r="Q227" s="23">
        <f t="shared" si="46"/>
        <v>-6.7599067599067864E-3</v>
      </c>
      <c r="R227" s="23">
        <f t="shared" si="47"/>
        <v>-3.6683785766691068E-2</v>
      </c>
      <c r="S227" s="23">
        <f t="shared" si="48"/>
        <v>-7.6873503958756473E-3</v>
      </c>
      <c r="T227" s="23">
        <f t="shared" si="49"/>
        <v>-8.5139318885448789E-3</v>
      </c>
      <c r="U227" s="23">
        <f t="shared" si="50"/>
        <v>-9.4155004984677326E-3</v>
      </c>
      <c r="V227" s="23">
        <f t="shared" si="51"/>
        <v>2.7143193593970771E-2</v>
      </c>
      <c r="W227" s="23">
        <f t="shared" si="52"/>
        <v>2.1154251951888581E-2</v>
      </c>
      <c r="X227" s="23">
        <f t="shared" si="53"/>
        <v>-7.5298065663431668E-3</v>
      </c>
      <c r="Y227" s="23">
        <f t="shared" si="54"/>
        <v>5.7424003233350618E-3</v>
      </c>
    </row>
    <row r="228" spans="1:25" x14ac:dyDescent="0.3">
      <c r="A228" s="2">
        <f t="shared" si="42"/>
        <v>225</v>
      </c>
      <c r="B228" s="3">
        <v>45330</v>
      </c>
      <c r="C228" s="13">
        <f t="shared" si="43"/>
        <v>2024</v>
      </c>
      <c r="D228" s="13">
        <f t="shared" si="44"/>
        <v>2</v>
      </c>
      <c r="E228" s="24">
        <v>17.140799999999999</v>
      </c>
      <c r="F228" s="25">
        <v>57.42</v>
      </c>
      <c r="G228" s="25">
        <v>42.9</v>
      </c>
      <c r="H228" s="25">
        <v>13.63</v>
      </c>
      <c r="I228" s="25">
        <v>217.24</v>
      </c>
      <c r="J228" s="25">
        <v>12.92</v>
      </c>
      <c r="K228" s="25">
        <v>270.83</v>
      </c>
      <c r="L228" s="25">
        <v>169.84</v>
      </c>
      <c r="M228" s="25">
        <v>189.56</v>
      </c>
      <c r="N228" s="25">
        <v>57762.44</v>
      </c>
      <c r="O228" s="25">
        <v>4997.91</v>
      </c>
      <c r="P228" s="23">
        <f t="shared" si="45"/>
        <v>-1.6106922549691483E-2</v>
      </c>
      <c r="Q228" s="23">
        <f t="shared" si="46"/>
        <v>7.0422535211267512E-3</v>
      </c>
      <c r="R228" s="23">
        <f t="shared" si="47"/>
        <v>-8.2772543741588045E-2</v>
      </c>
      <c r="S228" s="23">
        <f t="shared" si="48"/>
        <v>-1.3755845099196473E-2</v>
      </c>
      <c r="T228" s="23">
        <f t="shared" si="49"/>
        <v>-1.1476664116296886E-2</v>
      </c>
      <c r="U228" s="23">
        <f t="shared" si="50"/>
        <v>-6.2730627306284426E-4</v>
      </c>
      <c r="V228" s="23">
        <f t="shared" si="51"/>
        <v>-4.0462088782032835E-3</v>
      </c>
      <c r="W228" s="23">
        <f t="shared" si="52"/>
        <v>1.0555496321569491E-2</v>
      </c>
      <c r="X228" s="23">
        <f t="shared" si="53"/>
        <v>-1.6171005965233243E-2</v>
      </c>
      <c r="Y228" s="23">
        <f t="shared" si="54"/>
        <v>5.7056371695218822E-4</v>
      </c>
    </row>
    <row r="229" spans="1:25" x14ac:dyDescent="0.3">
      <c r="A229" s="2">
        <f t="shared" si="42"/>
        <v>226</v>
      </c>
      <c r="B229" s="3">
        <v>45329</v>
      </c>
      <c r="C229" s="13">
        <f t="shared" si="43"/>
        <v>2024</v>
      </c>
      <c r="D229" s="13">
        <f t="shared" si="44"/>
        <v>2</v>
      </c>
      <c r="E229" s="24">
        <v>17.026</v>
      </c>
      <c r="F229" s="25">
        <v>58.36</v>
      </c>
      <c r="G229" s="25">
        <v>42.6</v>
      </c>
      <c r="H229" s="25">
        <v>14.86</v>
      </c>
      <c r="I229" s="25">
        <v>220.27</v>
      </c>
      <c r="J229" s="25">
        <v>13.07</v>
      </c>
      <c r="K229" s="25">
        <v>271</v>
      </c>
      <c r="L229" s="25">
        <v>170.53</v>
      </c>
      <c r="M229" s="25">
        <v>187.58</v>
      </c>
      <c r="N229" s="25">
        <v>58711.87</v>
      </c>
      <c r="O229" s="25">
        <v>4995.0600000000004</v>
      </c>
      <c r="P229" s="23">
        <f t="shared" si="45"/>
        <v>1.7137960582691569E-4</v>
      </c>
      <c r="Q229" s="23">
        <f t="shared" si="46"/>
        <v>3.8011695906432719E-2</v>
      </c>
      <c r="R229" s="23">
        <f t="shared" si="47"/>
        <v>5.412719891745521E-3</v>
      </c>
      <c r="S229" s="23">
        <f t="shared" si="48"/>
        <v>-7.4798359843193385E-3</v>
      </c>
      <c r="T229" s="23">
        <f t="shared" si="49"/>
        <v>-2.9695619896065395E-2</v>
      </c>
      <c r="U229" s="23">
        <f t="shared" si="50"/>
        <v>-1.4402094850159974E-2</v>
      </c>
      <c r="V229" s="23">
        <f t="shared" si="51"/>
        <v>8.1584392550990703E-3</v>
      </c>
      <c r="W229" s="23">
        <f t="shared" si="52"/>
        <v>1.339816315505149E-2</v>
      </c>
      <c r="X229" s="23">
        <f t="shared" si="53"/>
        <v>5.5027660388851096E-4</v>
      </c>
      <c r="Y229" s="23">
        <f t="shared" si="54"/>
        <v>8.2414421615468747E-3</v>
      </c>
    </row>
    <row r="230" spans="1:25" x14ac:dyDescent="0.3">
      <c r="A230" s="2">
        <f t="shared" si="42"/>
        <v>227</v>
      </c>
      <c r="B230" s="3">
        <v>45328</v>
      </c>
      <c r="C230" s="13">
        <f t="shared" si="43"/>
        <v>2024</v>
      </c>
      <c r="D230" s="13">
        <f t="shared" si="44"/>
        <v>2</v>
      </c>
      <c r="E230" s="24">
        <v>17.032</v>
      </c>
      <c r="F230" s="25">
        <v>58.35</v>
      </c>
      <c r="G230" s="25">
        <v>41.04</v>
      </c>
      <c r="H230" s="25">
        <v>14.78</v>
      </c>
      <c r="I230" s="25">
        <v>221.93</v>
      </c>
      <c r="J230" s="25">
        <v>13.47</v>
      </c>
      <c r="K230" s="25">
        <v>274.95999999999998</v>
      </c>
      <c r="L230" s="25">
        <v>169.15</v>
      </c>
      <c r="M230" s="25">
        <v>185.1</v>
      </c>
      <c r="N230" s="25">
        <v>58679.58</v>
      </c>
      <c r="O230" s="25">
        <v>4954.2299999999996</v>
      </c>
      <c r="P230" s="23">
        <f t="shared" si="45"/>
        <v>7.076285812909866E-3</v>
      </c>
      <c r="Q230" s="23">
        <f t="shared" si="46"/>
        <v>1.2333497779970504E-2</v>
      </c>
      <c r="R230" s="23">
        <f t="shared" si="47"/>
        <v>4.7586675730795225E-3</v>
      </c>
      <c r="S230" s="23">
        <f t="shared" si="48"/>
        <v>2.3237585873023381E-2</v>
      </c>
      <c r="T230" s="23">
        <f t="shared" si="49"/>
        <v>-2.8138528138528018E-2</v>
      </c>
      <c r="U230" s="23">
        <f t="shared" si="50"/>
        <v>2.66596968112911E-2</v>
      </c>
      <c r="V230" s="23">
        <f t="shared" si="51"/>
        <v>-1.5482218729992447E-2</v>
      </c>
      <c r="W230" s="23">
        <f t="shared" si="52"/>
        <v>-1.4953967324783157E-2</v>
      </c>
      <c r="X230" s="23">
        <f t="shared" si="53"/>
        <v>7.7766635518337068E-3</v>
      </c>
      <c r="Y230" s="23">
        <f t="shared" si="54"/>
        <v>-8.8331205720959538E-4</v>
      </c>
    </row>
    <row r="231" spans="1:25" x14ac:dyDescent="0.3">
      <c r="A231" s="2">
        <f t="shared" si="42"/>
        <v>228</v>
      </c>
      <c r="B231" s="3">
        <v>45324</v>
      </c>
      <c r="C231" s="13">
        <f t="shared" si="43"/>
        <v>2024</v>
      </c>
      <c r="D231" s="13">
        <f t="shared" si="44"/>
        <v>2</v>
      </c>
      <c r="E231" s="24">
        <v>17.113</v>
      </c>
      <c r="F231" s="25">
        <v>57.94</v>
      </c>
      <c r="G231" s="25">
        <v>40.54</v>
      </c>
      <c r="H231" s="25">
        <v>14.71</v>
      </c>
      <c r="I231" s="25">
        <v>216.89</v>
      </c>
      <c r="J231" s="25">
        <v>13.86</v>
      </c>
      <c r="K231" s="25">
        <v>267.82</v>
      </c>
      <c r="L231" s="25">
        <v>171.81</v>
      </c>
      <c r="M231" s="25">
        <v>187.91</v>
      </c>
      <c r="N231" s="25">
        <v>58226.77</v>
      </c>
      <c r="O231" s="25">
        <v>4958.6099999999997</v>
      </c>
      <c r="P231" s="23">
        <f t="shared" si="45"/>
        <v>7.8274482518698729E-3</v>
      </c>
      <c r="Q231" s="23">
        <f t="shared" si="46"/>
        <v>-1.231830500123321E-3</v>
      </c>
      <c r="R231" s="23">
        <f t="shared" si="47"/>
        <v>2.0110957004160879E-2</v>
      </c>
      <c r="S231" s="23">
        <f t="shared" si="48"/>
        <v>-3.5572946773978376E-2</v>
      </c>
      <c r="T231" s="23">
        <f t="shared" si="49"/>
        <v>6.5359477124182774E-3</v>
      </c>
      <c r="U231" s="23">
        <f t="shared" si="50"/>
        <v>3.6615575166434322E-2</v>
      </c>
      <c r="V231" s="23">
        <f t="shared" si="51"/>
        <v>7.8666499246609733E-2</v>
      </c>
      <c r="W231" s="23">
        <f t="shared" si="52"/>
        <v>-5.0301810865192031E-3</v>
      </c>
      <c r="X231" s="23">
        <f t="shared" si="53"/>
        <v>6.894401474162537E-3</v>
      </c>
      <c r="Y231" s="23">
        <f t="shared" si="54"/>
        <v>1.0684461873673889E-2</v>
      </c>
    </row>
    <row r="232" spans="1:25" x14ac:dyDescent="0.3">
      <c r="A232" s="2">
        <f t="shared" si="42"/>
        <v>229</v>
      </c>
      <c r="B232" s="3">
        <v>45323</v>
      </c>
      <c r="C232" s="13">
        <f t="shared" si="43"/>
        <v>2024</v>
      </c>
      <c r="D232" s="13">
        <f t="shared" si="44"/>
        <v>2</v>
      </c>
      <c r="E232" s="24">
        <v>17.079999999999998</v>
      </c>
      <c r="F232" s="25">
        <v>57.49</v>
      </c>
      <c r="G232" s="25">
        <v>40.590000000000003</v>
      </c>
      <c r="H232" s="25">
        <v>14.42</v>
      </c>
      <c r="I232" s="25">
        <v>224.89</v>
      </c>
      <c r="J232" s="25">
        <v>13.77</v>
      </c>
      <c r="K232" s="25">
        <v>258.36</v>
      </c>
      <c r="L232" s="25">
        <v>159.28</v>
      </c>
      <c r="M232" s="25">
        <v>188.86</v>
      </c>
      <c r="N232" s="25">
        <v>57828.08</v>
      </c>
      <c r="O232" s="25">
        <v>4906.1899999999996</v>
      </c>
      <c r="P232" s="23">
        <f t="shared" si="45"/>
        <v>7.5359270942867429E-3</v>
      </c>
      <c r="Q232" s="23">
        <f t="shared" si="46"/>
        <v>4.4543429844099425E-3</v>
      </c>
      <c r="R232" s="23">
        <f t="shared" si="47"/>
        <v>8.3916083916082407E-3</v>
      </c>
      <c r="S232" s="23">
        <f t="shared" si="48"/>
        <v>-6.4062914199877197E-3</v>
      </c>
      <c r="T232" s="23">
        <f t="shared" si="49"/>
        <v>7.2674418604656843E-4</v>
      </c>
      <c r="U232" s="23">
        <f t="shared" si="50"/>
        <v>5.6831451926822041E-3</v>
      </c>
      <c r="V232" s="23">
        <f t="shared" si="51"/>
        <v>2.6288659793814562E-2</v>
      </c>
      <c r="W232" s="23">
        <f t="shared" si="52"/>
        <v>8.3827219819532228E-3</v>
      </c>
      <c r="X232" s="23">
        <f t="shared" si="53"/>
        <v>7.9361704056071236E-3</v>
      </c>
      <c r="Y232" s="23">
        <f t="shared" si="54"/>
        <v>1.2493679898465615E-2</v>
      </c>
    </row>
    <row r="233" spans="1:25" x14ac:dyDescent="0.3">
      <c r="A233" s="2">
        <f t="shared" si="42"/>
        <v>230</v>
      </c>
      <c r="B233" s="3">
        <v>45322</v>
      </c>
      <c r="C233" s="13">
        <f t="shared" si="43"/>
        <v>2024</v>
      </c>
      <c r="D233" s="13">
        <f t="shared" si="44"/>
        <v>1</v>
      </c>
      <c r="E233" s="24">
        <v>17.212</v>
      </c>
      <c r="F233" s="25">
        <v>57.06</v>
      </c>
      <c r="G233" s="25">
        <v>40.409999999999997</v>
      </c>
      <c r="H233" s="25">
        <v>14.3</v>
      </c>
      <c r="I233" s="25">
        <v>226.34</v>
      </c>
      <c r="J233" s="25">
        <v>13.76</v>
      </c>
      <c r="K233" s="25">
        <v>256.89999999999998</v>
      </c>
      <c r="L233" s="25">
        <v>155.19999999999999</v>
      </c>
      <c r="M233" s="25">
        <v>187.29</v>
      </c>
      <c r="N233" s="25">
        <v>57372.76</v>
      </c>
      <c r="O233" s="25">
        <v>4845.6499999999996</v>
      </c>
      <c r="P233" s="23">
        <f t="shared" si="45"/>
        <v>-2.2731246721453546E-3</v>
      </c>
      <c r="Q233" s="23">
        <f t="shared" si="46"/>
        <v>-5.4147181885307871E-3</v>
      </c>
      <c r="R233" s="23">
        <f t="shared" si="47"/>
        <v>-5.5632823365785455E-3</v>
      </c>
      <c r="S233" s="23">
        <f t="shared" si="48"/>
        <v>-2.5320816467143237E-2</v>
      </c>
      <c r="T233" s="23">
        <f t="shared" si="49"/>
        <v>-8.6455331412104153E-3</v>
      </c>
      <c r="U233" s="23">
        <f t="shared" si="50"/>
        <v>-1.3440860215053752E-2</v>
      </c>
      <c r="V233" s="23">
        <f t="shared" si="51"/>
        <v>-2.3899371069182496E-2</v>
      </c>
      <c r="W233" s="23">
        <f t="shared" si="52"/>
        <v>-2.2443760112740851E-2</v>
      </c>
      <c r="X233" s="23">
        <f t="shared" si="53"/>
        <v>-2.8569372756448441E-3</v>
      </c>
      <c r="Y233" s="23">
        <f t="shared" si="54"/>
        <v>-1.6105681862021659E-2</v>
      </c>
    </row>
    <row r="234" spans="1:25" x14ac:dyDescent="0.3">
      <c r="A234" s="2">
        <f t="shared" si="42"/>
        <v>231</v>
      </c>
      <c r="B234" s="3">
        <v>45321</v>
      </c>
      <c r="C234" s="13">
        <f t="shared" si="43"/>
        <v>2024</v>
      </c>
      <c r="D234" s="13">
        <f t="shared" si="44"/>
        <v>1</v>
      </c>
      <c r="E234" s="24">
        <v>17.14</v>
      </c>
      <c r="F234" s="25">
        <v>57.19</v>
      </c>
      <c r="G234" s="25">
        <v>40.630000000000003</v>
      </c>
      <c r="H234" s="25">
        <v>14.38</v>
      </c>
      <c r="I234" s="25">
        <v>232.22</v>
      </c>
      <c r="J234" s="25">
        <v>13.88</v>
      </c>
      <c r="K234" s="25">
        <v>260.39999999999998</v>
      </c>
      <c r="L234" s="25">
        <v>159</v>
      </c>
      <c r="M234" s="25">
        <v>191.59</v>
      </c>
      <c r="N234" s="25">
        <v>57537.14</v>
      </c>
      <c r="O234" s="25">
        <v>4924.97</v>
      </c>
      <c r="P234" s="23">
        <f t="shared" si="45"/>
        <v>6.1576354679802048E-3</v>
      </c>
      <c r="Q234" s="23">
        <f t="shared" si="46"/>
        <v>-1.4745637748831975E-3</v>
      </c>
      <c r="R234" s="23">
        <f t="shared" si="47"/>
        <v>6.2981105668300508E-3</v>
      </c>
      <c r="S234" s="23">
        <f t="shared" si="48"/>
        <v>-2.6983993966311903E-2</v>
      </c>
      <c r="T234" s="23">
        <f t="shared" si="49"/>
        <v>-3.2078103207810238E-2</v>
      </c>
      <c r="U234" s="23">
        <f t="shared" si="50"/>
        <v>-1.4644113974344397E-2</v>
      </c>
      <c r="V234" s="23">
        <f t="shared" si="51"/>
        <v>-1.4014634751333244E-2</v>
      </c>
      <c r="W234" s="23">
        <f t="shared" si="52"/>
        <v>3.4567642591525338E-3</v>
      </c>
      <c r="X234" s="23">
        <f t="shared" si="53"/>
        <v>6.3210386644823036E-3</v>
      </c>
      <c r="Y234" s="23">
        <f t="shared" si="54"/>
        <v>-6.0065788272156695E-4</v>
      </c>
    </row>
    <row r="235" spans="1:25" x14ac:dyDescent="0.3">
      <c r="A235" s="2">
        <f t="shared" si="42"/>
        <v>232</v>
      </c>
      <c r="B235" s="3">
        <v>45320</v>
      </c>
      <c r="C235" s="13">
        <f t="shared" si="43"/>
        <v>2024</v>
      </c>
      <c r="D235" s="13">
        <f t="shared" si="44"/>
        <v>1</v>
      </c>
      <c r="E235" s="24">
        <v>17.218</v>
      </c>
      <c r="F235" s="25">
        <v>56.84</v>
      </c>
      <c r="G235" s="25">
        <v>40.69</v>
      </c>
      <c r="H235" s="25">
        <v>14.29</v>
      </c>
      <c r="I235" s="25">
        <v>238.66</v>
      </c>
      <c r="J235" s="25">
        <v>14.34</v>
      </c>
      <c r="K235" s="25">
        <v>264.27</v>
      </c>
      <c r="L235" s="25">
        <v>161.26</v>
      </c>
      <c r="M235" s="25">
        <v>190.93</v>
      </c>
      <c r="N235" s="25">
        <v>57175.73</v>
      </c>
      <c r="O235" s="25">
        <v>4927.93</v>
      </c>
      <c r="P235" s="23">
        <f t="shared" si="45"/>
        <v>5.4838139041217815E-3</v>
      </c>
      <c r="Q235" s="23">
        <f t="shared" si="46"/>
        <v>1.969958138389627E-3</v>
      </c>
      <c r="R235" s="23">
        <f t="shared" si="47"/>
        <v>9.8939929328620835E-3</v>
      </c>
      <c r="S235" s="23">
        <f t="shared" si="48"/>
        <v>7.2147349505840008E-2</v>
      </c>
      <c r="T235" s="23">
        <f t="shared" si="49"/>
        <v>2.501786990707644E-2</v>
      </c>
      <c r="U235" s="23">
        <f t="shared" si="50"/>
        <v>1.2063419117646967E-2</v>
      </c>
      <c r="V235" s="23">
        <f t="shared" si="51"/>
        <v>1.3448969331322225E-2</v>
      </c>
      <c r="W235" s="23">
        <f t="shared" si="52"/>
        <v>4.1909959072305547E-2</v>
      </c>
      <c r="X235" s="23">
        <f t="shared" si="53"/>
        <v>5.6256274636854453E-3</v>
      </c>
      <c r="Y235" s="23">
        <f t="shared" si="54"/>
        <v>7.5567832147815928E-3</v>
      </c>
    </row>
    <row r="236" spans="1:25" x14ac:dyDescent="0.3">
      <c r="A236" s="2">
        <f t="shared" si="42"/>
        <v>233</v>
      </c>
      <c r="B236" s="3">
        <v>45317</v>
      </c>
      <c r="C236" s="13">
        <f t="shared" si="43"/>
        <v>2024</v>
      </c>
      <c r="D236" s="13">
        <f t="shared" si="44"/>
        <v>1</v>
      </c>
      <c r="E236" s="24">
        <v>17.154299999999999</v>
      </c>
      <c r="F236" s="25">
        <v>56.53</v>
      </c>
      <c r="G236" s="25">
        <v>40.61</v>
      </c>
      <c r="H236" s="25">
        <v>14.15</v>
      </c>
      <c r="I236" s="25">
        <v>222.6</v>
      </c>
      <c r="J236" s="25">
        <v>13.99</v>
      </c>
      <c r="K236" s="25">
        <v>261.12</v>
      </c>
      <c r="L236" s="25">
        <v>159.12</v>
      </c>
      <c r="M236" s="25">
        <v>183.25</v>
      </c>
      <c r="N236" s="25">
        <v>56855.88</v>
      </c>
      <c r="O236" s="25">
        <v>4890.97</v>
      </c>
      <c r="P236" s="23">
        <f t="shared" si="45"/>
        <v>1.0366398570151869E-2</v>
      </c>
      <c r="Q236" s="23">
        <f t="shared" si="46"/>
        <v>-1.3602137478746723E-2</v>
      </c>
      <c r="R236" s="23">
        <f t="shared" si="47"/>
        <v>1.1436740528949274E-2</v>
      </c>
      <c r="S236" s="23">
        <f t="shared" si="48"/>
        <v>1.0853276417964519E-2</v>
      </c>
      <c r="T236" s="23">
        <f t="shared" si="49"/>
        <v>-1.3399153737658653E-2</v>
      </c>
      <c r="U236" s="23">
        <f t="shared" si="50"/>
        <v>2.2796709753231559E-2</v>
      </c>
      <c r="V236" s="23">
        <f t="shared" si="51"/>
        <v>8.6846275752774371E-3</v>
      </c>
      <c r="W236" s="23">
        <f t="shared" si="52"/>
        <v>3.3948420303346882E-3</v>
      </c>
      <c r="X236" s="23">
        <f t="shared" si="53"/>
        <v>1.2389763759197647E-2</v>
      </c>
      <c r="Y236" s="23">
        <f t="shared" si="54"/>
        <v>-6.517972440622799E-4</v>
      </c>
    </row>
    <row r="237" spans="1:25" x14ac:dyDescent="0.3">
      <c r="A237" s="2">
        <f t="shared" si="42"/>
        <v>234</v>
      </c>
      <c r="B237" s="3">
        <v>45316</v>
      </c>
      <c r="C237" s="13">
        <f t="shared" si="43"/>
        <v>2024</v>
      </c>
      <c r="D237" s="13">
        <f t="shared" si="44"/>
        <v>1</v>
      </c>
      <c r="E237" s="24">
        <v>17.190000000000001</v>
      </c>
      <c r="F237" s="25">
        <v>55.95</v>
      </c>
      <c r="G237" s="25">
        <v>41.17</v>
      </c>
      <c r="H237" s="25">
        <v>13.99</v>
      </c>
      <c r="I237" s="25">
        <v>220.21</v>
      </c>
      <c r="J237" s="25">
        <v>14.18</v>
      </c>
      <c r="K237" s="25">
        <v>255.3</v>
      </c>
      <c r="L237" s="25">
        <v>157.75</v>
      </c>
      <c r="M237" s="25">
        <v>182.63</v>
      </c>
      <c r="N237" s="25">
        <v>56160.07</v>
      </c>
      <c r="O237" s="25">
        <v>4894.16</v>
      </c>
      <c r="P237" s="23">
        <f t="shared" si="45"/>
        <v>1.4873934337021666E-2</v>
      </c>
      <c r="Q237" s="23">
        <f t="shared" si="46"/>
        <v>3.0280280280280403E-2</v>
      </c>
      <c r="R237" s="23">
        <f t="shared" si="47"/>
        <v>4.872563718140932E-2</v>
      </c>
      <c r="S237" s="23">
        <f t="shared" si="48"/>
        <v>-7.4371225096908633E-3</v>
      </c>
      <c r="T237" s="23">
        <f t="shared" si="49"/>
        <v>-1.8005540166204925E-2</v>
      </c>
      <c r="U237" s="23">
        <f t="shared" si="50"/>
        <v>2.6290400385914126E-2</v>
      </c>
      <c r="V237" s="23">
        <f t="shared" si="51"/>
        <v>5.6097405494994756E-3</v>
      </c>
      <c r="W237" s="23">
        <f t="shared" si="52"/>
        <v>-0.12125294712024259</v>
      </c>
      <c r="X237" s="23">
        <f t="shared" si="53"/>
        <v>1.336207168769854E-2</v>
      </c>
      <c r="Y237" s="23">
        <f t="shared" si="54"/>
        <v>5.2602931057501578E-3</v>
      </c>
    </row>
    <row r="238" spans="1:25" x14ac:dyDescent="0.3">
      <c r="A238" s="2">
        <f t="shared" si="42"/>
        <v>235</v>
      </c>
      <c r="B238" s="3">
        <v>45315</v>
      </c>
      <c r="C238" s="13">
        <f t="shared" si="43"/>
        <v>2024</v>
      </c>
      <c r="D238" s="13">
        <f t="shared" si="44"/>
        <v>1</v>
      </c>
      <c r="E238" s="24">
        <v>17.21</v>
      </c>
      <c r="F238" s="25">
        <v>55.13</v>
      </c>
      <c r="G238" s="25">
        <v>39.96</v>
      </c>
      <c r="H238" s="25">
        <v>13.34</v>
      </c>
      <c r="I238" s="25">
        <v>221.86</v>
      </c>
      <c r="J238" s="25">
        <v>14.44</v>
      </c>
      <c r="K238" s="25">
        <v>248.76</v>
      </c>
      <c r="L238" s="25">
        <v>156.87</v>
      </c>
      <c r="M238" s="25">
        <v>207.83</v>
      </c>
      <c r="N238" s="25">
        <v>55419.55</v>
      </c>
      <c r="O238" s="25">
        <v>4868.55</v>
      </c>
      <c r="P238" s="23">
        <f t="shared" si="45"/>
        <v>-3.2543843789549776E-3</v>
      </c>
      <c r="Q238" s="23">
        <f t="shared" si="46"/>
        <v>3.7678975131876236E-3</v>
      </c>
      <c r="R238" s="23">
        <f t="shared" si="47"/>
        <v>2.1439509954058078E-2</v>
      </c>
      <c r="S238" s="23">
        <f t="shared" si="48"/>
        <v>4.9082655570266809E-2</v>
      </c>
      <c r="T238" s="23">
        <f t="shared" si="49"/>
        <v>1.3333333333333197E-2</v>
      </c>
      <c r="U238" s="23">
        <f t="shared" si="50"/>
        <v>-4.3626175705423487E-3</v>
      </c>
      <c r="V238" s="23">
        <f t="shared" si="51"/>
        <v>5.4480194846813212E-3</v>
      </c>
      <c r="W238" s="23">
        <f t="shared" si="52"/>
        <v>-6.2637467724967477E-3</v>
      </c>
      <c r="X238" s="23">
        <f t="shared" si="53"/>
        <v>-1.5017233333753932E-3</v>
      </c>
      <c r="Y238" s="23">
        <f t="shared" si="54"/>
        <v>8.1198865271558951E-4</v>
      </c>
    </row>
    <row r="239" spans="1:25" x14ac:dyDescent="0.3">
      <c r="A239" s="2">
        <f t="shared" si="42"/>
        <v>236</v>
      </c>
      <c r="B239" s="3">
        <v>45314</v>
      </c>
      <c r="C239" s="13">
        <f t="shared" si="43"/>
        <v>2024</v>
      </c>
      <c r="D239" s="13">
        <f t="shared" si="44"/>
        <v>1</v>
      </c>
      <c r="E239" s="24">
        <v>17.3</v>
      </c>
      <c r="F239" s="25">
        <v>55.31</v>
      </c>
      <c r="G239" s="25">
        <v>39.81</v>
      </c>
      <c r="H239" s="25">
        <v>13.06</v>
      </c>
      <c r="I239" s="25">
        <v>211.48</v>
      </c>
      <c r="J239" s="25">
        <v>14.25</v>
      </c>
      <c r="K239" s="25">
        <v>249.85</v>
      </c>
      <c r="L239" s="25">
        <v>156.02000000000001</v>
      </c>
      <c r="M239" s="25">
        <v>209.14</v>
      </c>
      <c r="N239" s="25">
        <v>55502.9</v>
      </c>
      <c r="O239" s="25">
        <v>4864.6000000000004</v>
      </c>
      <c r="P239" s="23">
        <f t="shared" si="45"/>
        <v>1.5607785530664664E-2</v>
      </c>
      <c r="Q239" s="23">
        <f t="shared" si="46"/>
        <v>3.2762096774194838E-3</v>
      </c>
      <c r="R239" s="23">
        <f t="shared" si="47"/>
        <v>1.9516003122560521E-2</v>
      </c>
      <c r="S239" s="23">
        <f t="shared" si="48"/>
        <v>1.8003273322422242E-2</v>
      </c>
      <c r="T239" s="23">
        <f t="shared" si="49"/>
        <v>2.4442846872753332E-2</v>
      </c>
      <c r="U239" s="23">
        <f t="shared" si="50"/>
        <v>3.0521757063312061E-2</v>
      </c>
      <c r="V239" s="23">
        <f t="shared" si="51"/>
        <v>8.0113709781626241E-3</v>
      </c>
      <c r="W239" s="23">
        <f t="shared" si="52"/>
        <v>1.6283524904212587E-3</v>
      </c>
      <c r="X239" s="23">
        <f t="shared" si="53"/>
        <v>1.4250665076112501E-2</v>
      </c>
      <c r="Y239" s="23">
        <f t="shared" si="54"/>
        <v>2.9213904746590025E-3</v>
      </c>
    </row>
    <row r="240" spans="1:25" x14ac:dyDescent="0.3">
      <c r="A240" s="2">
        <f t="shared" si="42"/>
        <v>237</v>
      </c>
      <c r="B240" s="3">
        <v>45313</v>
      </c>
      <c r="C240" s="13">
        <f t="shared" si="43"/>
        <v>2024</v>
      </c>
      <c r="D240" s="13">
        <f t="shared" si="44"/>
        <v>1</v>
      </c>
      <c r="E240" s="24">
        <v>17.173999999999999</v>
      </c>
      <c r="F240" s="25">
        <v>54.46</v>
      </c>
      <c r="G240" s="25">
        <v>39.68</v>
      </c>
      <c r="H240" s="25">
        <v>12.81</v>
      </c>
      <c r="I240" s="25">
        <v>207.74</v>
      </c>
      <c r="J240" s="25">
        <v>13.91</v>
      </c>
      <c r="K240" s="25">
        <v>242.45</v>
      </c>
      <c r="L240" s="25">
        <v>154.78</v>
      </c>
      <c r="M240" s="25">
        <v>208.8</v>
      </c>
      <c r="N240" s="25">
        <v>54723.06</v>
      </c>
      <c r="O240" s="25">
        <v>4850.43</v>
      </c>
      <c r="P240" s="23">
        <f t="shared" si="45"/>
        <v>-1.2869313032445207E-2</v>
      </c>
      <c r="Q240" s="23">
        <f t="shared" si="46"/>
        <v>-9.4857713429855606E-3</v>
      </c>
      <c r="R240" s="23">
        <f t="shared" si="47"/>
        <v>-7.800312012480326E-4</v>
      </c>
      <c r="S240" s="23">
        <f t="shared" si="48"/>
        <v>-1.9261637239165297E-2</v>
      </c>
      <c r="T240" s="23">
        <f t="shared" si="49"/>
        <v>-2.2487702037948032E-2</v>
      </c>
      <c r="U240" s="23">
        <f t="shared" si="50"/>
        <v>-4.7834112241291304E-2</v>
      </c>
      <c r="V240" s="23">
        <f t="shared" si="51"/>
        <v>-3.6049954937557027E-3</v>
      </c>
      <c r="W240" s="23">
        <f t="shared" si="52"/>
        <v>-1.5976247702530699E-2</v>
      </c>
      <c r="X240" s="23">
        <f t="shared" si="53"/>
        <v>-1.3147202720906859E-2</v>
      </c>
      <c r="Y240" s="23">
        <f t="shared" si="54"/>
        <v>2.194301015948863E-3</v>
      </c>
    </row>
    <row r="241" spans="1:25" x14ac:dyDescent="0.3">
      <c r="A241" s="2">
        <f t="shared" si="42"/>
        <v>238</v>
      </c>
      <c r="B241" s="3">
        <v>45310</v>
      </c>
      <c r="C241" s="13">
        <f t="shared" si="43"/>
        <v>2024</v>
      </c>
      <c r="D241" s="13">
        <f t="shared" si="44"/>
        <v>1</v>
      </c>
      <c r="E241" s="24">
        <v>17.077999999999999</v>
      </c>
      <c r="F241" s="25">
        <v>55.17</v>
      </c>
      <c r="G241" s="25">
        <v>40.06</v>
      </c>
      <c r="H241" s="25">
        <v>12.82</v>
      </c>
      <c r="I241" s="25">
        <v>211.82</v>
      </c>
      <c r="J241" s="25">
        <v>14.23</v>
      </c>
      <c r="K241" s="25">
        <v>254.63</v>
      </c>
      <c r="L241" s="25">
        <v>155.34</v>
      </c>
      <c r="M241" s="25">
        <v>212.19</v>
      </c>
      <c r="N241" s="25">
        <v>55452.1</v>
      </c>
      <c r="O241" s="25">
        <v>4839.8100000000004</v>
      </c>
      <c r="P241" s="23">
        <f t="shared" si="45"/>
        <v>1.3968020584451457E-2</v>
      </c>
      <c r="Q241" s="23">
        <f t="shared" si="46"/>
        <v>3.0045067601403019E-3</v>
      </c>
      <c r="R241" s="23">
        <f t="shared" si="47"/>
        <v>6.2794348508634634E-3</v>
      </c>
      <c r="S241" s="23">
        <f t="shared" si="48"/>
        <v>1.5484922575387028E-2</v>
      </c>
      <c r="T241" s="23">
        <f t="shared" si="49"/>
        <v>8.5046066619418603E-3</v>
      </c>
      <c r="U241" s="23">
        <f t="shared" si="50"/>
        <v>1.8153464752689086E-2</v>
      </c>
      <c r="V241" s="23">
        <f t="shared" si="51"/>
        <v>1.19869706840392E-2</v>
      </c>
      <c r="W241" s="23">
        <f t="shared" si="52"/>
        <v>1.4630923164056231E-3</v>
      </c>
      <c r="X241" s="23">
        <f t="shared" si="53"/>
        <v>1.3603339481745635E-2</v>
      </c>
      <c r="Y241" s="23">
        <f t="shared" si="54"/>
        <v>1.2313478102632613E-2</v>
      </c>
    </row>
    <row r="242" spans="1:25" x14ac:dyDescent="0.3">
      <c r="A242" s="2">
        <f t="shared" si="42"/>
        <v>239</v>
      </c>
      <c r="B242" s="3">
        <v>45309</v>
      </c>
      <c r="C242" s="13">
        <f t="shared" si="43"/>
        <v>2024</v>
      </c>
      <c r="D242" s="13">
        <f t="shared" si="44"/>
        <v>1</v>
      </c>
      <c r="E242" s="24">
        <v>17.146000000000001</v>
      </c>
      <c r="F242" s="25">
        <v>54.41</v>
      </c>
      <c r="G242" s="25">
        <v>39.94</v>
      </c>
      <c r="H242" s="25">
        <v>12.74</v>
      </c>
      <c r="I242" s="25">
        <v>208.59</v>
      </c>
      <c r="J242" s="25">
        <v>14.11</v>
      </c>
      <c r="K242" s="25">
        <v>250.09</v>
      </c>
      <c r="L242" s="25">
        <v>153.5</v>
      </c>
      <c r="M242" s="25">
        <v>211.88</v>
      </c>
      <c r="N242" s="25">
        <v>54707.89</v>
      </c>
      <c r="O242" s="25">
        <v>4780.9399999999996</v>
      </c>
      <c r="P242" s="23">
        <f t="shared" si="45"/>
        <v>-1.1015237745548578E-3</v>
      </c>
      <c r="Q242" s="23">
        <f t="shared" si="46"/>
        <v>7.8002699055330638E-2</v>
      </c>
      <c r="R242" s="23">
        <f t="shared" si="47"/>
        <v>-8.5603112840466622E-3</v>
      </c>
      <c r="S242" s="23">
        <f t="shared" si="48"/>
        <v>2.3546371936569166E-3</v>
      </c>
      <c r="T242" s="23">
        <f t="shared" si="49"/>
        <v>5.1415797317436729E-2</v>
      </c>
      <c r="U242" s="23">
        <f t="shared" si="50"/>
        <v>4.6599445627284464E-3</v>
      </c>
      <c r="V242" s="23">
        <f t="shared" si="51"/>
        <v>1.1798826708852461E-2</v>
      </c>
      <c r="W242" s="23">
        <f t="shared" si="52"/>
        <v>-1.7026212015773701E-2</v>
      </c>
      <c r="X242" s="23">
        <f t="shared" si="53"/>
        <v>-6.9454992159823092E-5</v>
      </c>
      <c r="Y242" s="23">
        <f t="shared" si="54"/>
        <v>8.8052650125229892E-3</v>
      </c>
    </row>
    <row r="243" spans="1:25" x14ac:dyDescent="0.3">
      <c r="A243" s="2">
        <f t="shared" si="42"/>
        <v>240</v>
      </c>
      <c r="B243" s="3">
        <v>45308</v>
      </c>
      <c r="C243" s="13">
        <f t="shared" si="43"/>
        <v>2024</v>
      </c>
      <c r="D243" s="13">
        <f t="shared" si="44"/>
        <v>1</v>
      </c>
      <c r="E243" s="24">
        <v>17.193999999999999</v>
      </c>
      <c r="F243" s="25">
        <v>54.47</v>
      </c>
      <c r="G243" s="25">
        <v>37.049999999999997</v>
      </c>
      <c r="H243" s="25">
        <v>12.85</v>
      </c>
      <c r="I243" s="25">
        <v>208.1</v>
      </c>
      <c r="J243" s="25">
        <v>13.42</v>
      </c>
      <c r="K243" s="25">
        <v>248.93</v>
      </c>
      <c r="L243" s="25">
        <v>151.71</v>
      </c>
      <c r="M243" s="25">
        <v>215.55</v>
      </c>
      <c r="N243" s="25">
        <v>54711.69</v>
      </c>
      <c r="O243" s="25">
        <v>4739.21</v>
      </c>
      <c r="P243" s="23">
        <f t="shared" si="45"/>
        <v>-6.5657486777311869E-3</v>
      </c>
      <c r="Q243" s="23">
        <f t="shared" si="46"/>
        <v>-6.3447927199191234E-2</v>
      </c>
      <c r="R243" s="23">
        <f t="shared" si="47"/>
        <v>3.90625E-3</v>
      </c>
      <c r="S243" s="23">
        <f t="shared" si="48"/>
        <v>-3.888786255311294E-2</v>
      </c>
      <c r="T243" s="23">
        <f t="shared" si="49"/>
        <v>-4.8901488306165808E-2</v>
      </c>
      <c r="U243" s="23">
        <f t="shared" si="50"/>
        <v>-5.0759392486010579E-3</v>
      </c>
      <c r="V243" s="23">
        <f t="shared" si="51"/>
        <v>-9.4672238182291757E-3</v>
      </c>
      <c r="W243" s="23">
        <f t="shared" si="52"/>
        <v>-1.9826292574234849E-2</v>
      </c>
      <c r="X243" s="23">
        <f t="shared" si="53"/>
        <v>-7.490125094830602E-3</v>
      </c>
      <c r="Y243" s="23">
        <f t="shared" si="54"/>
        <v>-5.6168930629166836E-3</v>
      </c>
    </row>
    <row r="244" spans="1:25" x14ac:dyDescent="0.3">
      <c r="A244" s="2">
        <f t="shared" si="42"/>
        <v>241</v>
      </c>
      <c r="B244" s="3">
        <v>45307</v>
      </c>
      <c r="C244" s="13">
        <f t="shared" si="43"/>
        <v>2024</v>
      </c>
      <c r="D244" s="13">
        <f t="shared" si="44"/>
        <v>1</v>
      </c>
      <c r="E244" s="24">
        <v>17.202000000000002</v>
      </c>
      <c r="F244" s="25">
        <v>54.83</v>
      </c>
      <c r="G244" s="25">
        <v>39.56</v>
      </c>
      <c r="H244" s="25">
        <v>12.8</v>
      </c>
      <c r="I244" s="25">
        <v>216.52</v>
      </c>
      <c r="J244" s="25">
        <v>14.11</v>
      </c>
      <c r="K244" s="25">
        <v>250.2</v>
      </c>
      <c r="L244" s="25">
        <v>153.16</v>
      </c>
      <c r="M244" s="25">
        <v>219.91</v>
      </c>
      <c r="N244" s="25">
        <v>55124.58</v>
      </c>
      <c r="O244" s="25">
        <v>4765.9799999999996</v>
      </c>
      <c r="P244" s="23">
        <f t="shared" si="45"/>
        <v>-7.9609191242989708E-3</v>
      </c>
      <c r="Q244" s="23">
        <f t="shared" si="46"/>
        <v>-2.8009828009827986E-2</v>
      </c>
      <c r="R244" s="23">
        <f t="shared" si="47"/>
        <v>-1.9908116385911168E-2</v>
      </c>
      <c r="S244" s="23">
        <f t="shared" si="48"/>
        <v>-3.031931568811852E-2</v>
      </c>
      <c r="T244" s="23">
        <f t="shared" si="49"/>
        <v>-2.5552486187845336E-2</v>
      </c>
      <c r="U244" s="23">
        <f t="shared" si="50"/>
        <v>-3.3715676051442545E-2</v>
      </c>
      <c r="V244" s="23">
        <f t="shared" si="51"/>
        <v>-9.4425042038546181E-3</v>
      </c>
      <c r="W244" s="23">
        <f t="shared" si="52"/>
        <v>4.6598748229704778E-3</v>
      </c>
      <c r="X244" s="23">
        <f t="shared" si="53"/>
        <v>-6.784188640551525E-3</v>
      </c>
      <c r="Y244" s="23">
        <f t="shared" si="54"/>
        <v>-3.7313198838587747E-3</v>
      </c>
    </row>
    <row r="245" spans="1:25" x14ac:dyDescent="0.3">
      <c r="A245" s="2">
        <f t="shared" si="42"/>
        <v>242</v>
      </c>
      <c r="B245" s="3">
        <v>45306</v>
      </c>
      <c r="C245" s="13">
        <f t="shared" si="43"/>
        <v>2024</v>
      </c>
      <c r="D245" s="13">
        <f t="shared" si="44"/>
        <v>1</v>
      </c>
      <c r="E245" s="24">
        <v>16.876999999999999</v>
      </c>
      <c r="F245" s="25">
        <v>55.27</v>
      </c>
      <c r="G245" s="25">
        <v>40.700000000000003</v>
      </c>
      <c r="H245" s="25">
        <v>13.06</v>
      </c>
      <c r="I245" s="25">
        <v>223.29</v>
      </c>
      <c r="J245" s="25">
        <v>14.48</v>
      </c>
      <c r="K245" s="25">
        <v>258.93</v>
      </c>
      <c r="L245" s="25">
        <v>154.62</v>
      </c>
      <c r="M245" s="25">
        <v>218.89</v>
      </c>
      <c r="N245" s="25">
        <v>55501.11</v>
      </c>
      <c r="O245" s="25">
        <v>4783.83</v>
      </c>
      <c r="P245" s="23">
        <f t="shared" si="45"/>
        <v>-1.0844026748598745E-3</v>
      </c>
      <c r="Q245" s="23">
        <f t="shared" si="46"/>
        <v>2.1329987452948673E-2</v>
      </c>
      <c r="R245" s="23">
        <f t="shared" si="47"/>
        <v>-1.2102874432677768E-2</v>
      </c>
      <c r="S245" s="23">
        <f t="shared" si="48"/>
        <v>-8.1730555678941608E-3</v>
      </c>
      <c r="T245" s="23">
        <f t="shared" si="49"/>
        <v>9.7629009762900676E-3</v>
      </c>
      <c r="U245" s="23">
        <f t="shared" si="50"/>
        <v>7.5097276264590729E-3</v>
      </c>
      <c r="V245" s="23">
        <f t="shared" si="51"/>
        <v>0</v>
      </c>
      <c r="W245" s="23">
        <f t="shared" si="52"/>
        <v>0</v>
      </c>
      <c r="X245" s="23">
        <f t="shared" si="53"/>
        <v>-1.9055130939285014E-3</v>
      </c>
      <c r="Y245" s="23">
        <f t="shared" si="54"/>
        <v>0</v>
      </c>
    </row>
    <row r="246" spans="1:25" x14ac:dyDescent="0.3">
      <c r="A246" s="2">
        <f t="shared" si="42"/>
        <v>243</v>
      </c>
      <c r="B246" s="3">
        <v>45303</v>
      </c>
      <c r="C246" s="13">
        <f t="shared" si="43"/>
        <v>2024</v>
      </c>
      <c r="D246" s="13">
        <f t="shared" si="44"/>
        <v>1</v>
      </c>
      <c r="E246" s="24">
        <v>16.861000000000001</v>
      </c>
      <c r="F246" s="25">
        <v>55.33</v>
      </c>
      <c r="G246" s="25">
        <v>39.85</v>
      </c>
      <c r="H246" s="25">
        <v>13.22</v>
      </c>
      <c r="I246" s="25">
        <v>225.13</v>
      </c>
      <c r="J246" s="25">
        <v>14.34</v>
      </c>
      <c r="K246" s="25">
        <v>257</v>
      </c>
      <c r="L246" s="25">
        <v>154.62</v>
      </c>
      <c r="M246" s="25">
        <v>218.89</v>
      </c>
      <c r="N246" s="25">
        <v>55607.07</v>
      </c>
      <c r="O246" s="25">
        <v>4783.83</v>
      </c>
      <c r="P246" s="23">
        <f t="shared" si="45"/>
        <v>2.9001268805508573E-3</v>
      </c>
      <c r="Q246" s="23">
        <f t="shared" si="46"/>
        <v>-3.6508704061895547E-2</v>
      </c>
      <c r="R246" s="23">
        <f t="shared" si="47"/>
        <v>0</v>
      </c>
      <c r="S246" s="23">
        <f t="shared" si="48"/>
        <v>-4.5102807870882611E-3</v>
      </c>
      <c r="T246" s="23">
        <f t="shared" si="49"/>
        <v>-3.5642232683254838E-2</v>
      </c>
      <c r="U246" s="23">
        <f t="shared" si="50"/>
        <v>-1.5325670498084309E-2</v>
      </c>
      <c r="V246" s="23">
        <f t="shared" si="51"/>
        <v>-3.6087124629462508E-3</v>
      </c>
      <c r="W246" s="23">
        <f t="shared" si="52"/>
        <v>-3.6660505237215091E-2</v>
      </c>
      <c r="X246" s="23">
        <f t="shared" si="53"/>
        <v>3.0361434916912344E-3</v>
      </c>
      <c r="Y246" s="23">
        <f t="shared" si="54"/>
        <v>7.5100831757413111E-4</v>
      </c>
    </row>
    <row r="247" spans="1:25" x14ac:dyDescent="0.3">
      <c r="A247" s="2">
        <f t="shared" si="42"/>
        <v>244</v>
      </c>
      <c r="B247" s="3">
        <v>45302</v>
      </c>
      <c r="C247" s="13">
        <f t="shared" si="43"/>
        <v>2024</v>
      </c>
      <c r="D247" s="13">
        <f t="shared" si="44"/>
        <v>1</v>
      </c>
      <c r="E247" s="24">
        <v>16.91</v>
      </c>
      <c r="F247" s="25">
        <v>55.17</v>
      </c>
      <c r="G247" s="25">
        <v>41.36</v>
      </c>
      <c r="H247" s="25">
        <v>13.22</v>
      </c>
      <c r="I247" s="25">
        <v>226.15</v>
      </c>
      <c r="J247" s="25">
        <v>14.87</v>
      </c>
      <c r="K247" s="25">
        <v>261</v>
      </c>
      <c r="L247" s="25">
        <v>155.18</v>
      </c>
      <c r="M247" s="25">
        <v>227.22</v>
      </c>
      <c r="N247" s="25">
        <v>55438.75</v>
      </c>
      <c r="O247" s="25">
        <v>4780.24</v>
      </c>
      <c r="P247" s="23">
        <f t="shared" si="45"/>
        <v>2.5440668726148807E-3</v>
      </c>
      <c r="Q247" s="23">
        <f t="shared" si="46"/>
        <v>1.447142506745136E-2</v>
      </c>
      <c r="R247" s="23">
        <f t="shared" si="47"/>
        <v>-7.5075075075075048E-3</v>
      </c>
      <c r="S247" s="23">
        <f t="shared" si="48"/>
        <v>-9.3306465743823175E-3</v>
      </c>
      <c r="T247" s="23">
        <f t="shared" si="49"/>
        <v>1.2942779291553075E-2</v>
      </c>
      <c r="U247" s="23">
        <f t="shared" si="50"/>
        <v>-1.068910620877872E-2</v>
      </c>
      <c r="V247" s="23">
        <f t="shared" si="51"/>
        <v>9.4321212515451336E-3</v>
      </c>
      <c r="W247" s="23">
        <f t="shared" si="52"/>
        <v>-2.8725314183123851E-2</v>
      </c>
      <c r="X247" s="23">
        <f t="shared" si="53"/>
        <v>2.1706957162925811E-3</v>
      </c>
      <c r="Y247" s="23">
        <f t="shared" si="54"/>
        <v>-6.7106377196379796E-4</v>
      </c>
    </row>
    <row r="248" spans="1:25" x14ac:dyDescent="0.3">
      <c r="A248" s="2">
        <f t="shared" si="42"/>
        <v>245</v>
      </c>
      <c r="B248" s="3">
        <v>45301</v>
      </c>
      <c r="C248" s="13">
        <f t="shared" si="43"/>
        <v>2024</v>
      </c>
      <c r="D248" s="13">
        <f t="shared" si="44"/>
        <v>1</v>
      </c>
      <c r="E248" s="24">
        <v>16.95</v>
      </c>
      <c r="F248" s="25">
        <v>55.03</v>
      </c>
      <c r="G248" s="25">
        <v>40.770000000000003</v>
      </c>
      <c r="H248" s="25">
        <v>13.32</v>
      </c>
      <c r="I248" s="25">
        <v>228.28</v>
      </c>
      <c r="J248" s="25">
        <v>14.68</v>
      </c>
      <c r="K248" s="25">
        <v>263.82</v>
      </c>
      <c r="L248" s="25">
        <v>153.72999999999999</v>
      </c>
      <c r="M248" s="25">
        <v>233.94</v>
      </c>
      <c r="N248" s="25">
        <v>55318.67</v>
      </c>
      <c r="O248" s="25">
        <v>4783.45</v>
      </c>
      <c r="P248" s="23">
        <f t="shared" si="45"/>
        <v>3.4646243617797445E-3</v>
      </c>
      <c r="Q248" s="23">
        <f t="shared" si="46"/>
        <v>-6.5789473684209065E-3</v>
      </c>
      <c r="R248" s="23">
        <f t="shared" si="47"/>
        <v>8.3270249810749597E-3</v>
      </c>
      <c r="S248" s="23">
        <f t="shared" si="48"/>
        <v>-6.181976491075214E-3</v>
      </c>
      <c r="T248" s="23">
        <f t="shared" si="49"/>
        <v>-4.070556309362261E-3</v>
      </c>
      <c r="U248" s="23">
        <f t="shared" si="50"/>
        <v>7.1387669402558362E-3</v>
      </c>
      <c r="V248" s="23">
        <f t="shared" si="51"/>
        <v>1.5590936116799847E-2</v>
      </c>
      <c r="W248" s="23">
        <f t="shared" si="52"/>
        <v>-4.3411644535240601E-3</v>
      </c>
      <c r="X248" s="23">
        <f t="shared" si="53"/>
        <v>3.8669405167315318E-3</v>
      </c>
      <c r="Y248" s="23">
        <f t="shared" si="54"/>
        <v>5.6659308314936929E-3</v>
      </c>
    </row>
    <row r="249" spans="1:25" x14ac:dyDescent="0.3">
      <c r="A249" s="2">
        <f t="shared" si="42"/>
        <v>246</v>
      </c>
      <c r="B249" s="3">
        <v>45300</v>
      </c>
      <c r="C249" s="13">
        <f t="shared" si="43"/>
        <v>2024</v>
      </c>
      <c r="D249" s="13">
        <f t="shared" si="44"/>
        <v>1</v>
      </c>
      <c r="E249" s="24">
        <v>16.960999999999999</v>
      </c>
      <c r="F249" s="25">
        <v>54.84</v>
      </c>
      <c r="G249" s="25">
        <v>41.04</v>
      </c>
      <c r="H249" s="25">
        <v>13.21</v>
      </c>
      <c r="I249" s="25">
        <v>229.7</v>
      </c>
      <c r="J249" s="25">
        <v>14.74</v>
      </c>
      <c r="K249" s="25">
        <v>261.95</v>
      </c>
      <c r="L249" s="25">
        <v>151.37</v>
      </c>
      <c r="M249" s="25">
        <v>234.96</v>
      </c>
      <c r="N249" s="25">
        <v>55105.58</v>
      </c>
      <c r="O249" s="25">
        <v>4756.5</v>
      </c>
      <c r="P249" s="23">
        <f t="shared" si="45"/>
        <v>-1.8611309949892574E-2</v>
      </c>
      <c r="Q249" s="23">
        <f t="shared" si="46"/>
        <v>-1.6299137104506256E-2</v>
      </c>
      <c r="R249" s="23">
        <f t="shared" si="47"/>
        <v>9.9388379204894406E-3</v>
      </c>
      <c r="S249" s="23">
        <f t="shared" si="48"/>
        <v>-2.858834475175509E-2</v>
      </c>
      <c r="T249" s="23">
        <f t="shared" si="49"/>
        <v>-3.9113428943937434E-2</v>
      </c>
      <c r="U249" s="23">
        <f t="shared" si="50"/>
        <v>-5.2484988786804521E-2</v>
      </c>
      <c r="V249" s="23">
        <f t="shared" si="51"/>
        <v>1.5224681421864616E-2</v>
      </c>
      <c r="W249" s="23">
        <f t="shared" si="52"/>
        <v>-2.2832189644416689E-2</v>
      </c>
      <c r="X249" s="23">
        <f t="shared" si="53"/>
        <v>-1.9048993986186535E-2</v>
      </c>
      <c r="Y249" s="23">
        <f t="shared" si="54"/>
        <v>-1.4778924917183689E-3</v>
      </c>
    </row>
    <row r="250" spans="1:25" x14ac:dyDescent="0.3">
      <c r="A250" s="2">
        <f t="shared" si="42"/>
        <v>247</v>
      </c>
      <c r="B250" s="3">
        <v>45299</v>
      </c>
      <c r="C250" s="13">
        <f t="shared" si="43"/>
        <v>2024</v>
      </c>
      <c r="D250" s="13">
        <f t="shared" si="44"/>
        <v>1</v>
      </c>
      <c r="E250" s="24">
        <v>16.817</v>
      </c>
      <c r="F250" s="25">
        <v>55.88</v>
      </c>
      <c r="G250" s="25">
        <v>41.72</v>
      </c>
      <c r="H250" s="25">
        <v>13.08</v>
      </c>
      <c r="I250" s="25">
        <v>236.46</v>
      </c>
      <c r="J250" s="25">
        <v>15.34</v>
      </c>
      <c r="K250" s="25">
        <v>276.45999999999998</v>
      </c>
      <c r="L250" s="25">
        <v>149.1</v>
      </c>
      <c r="M250" s="25">
        <v>240.45</v>
      </c>
      <c r="N250" s="25">
        <v>56175.67</v>
      </c>
      <c r="O250" s="25">
        <v>4763.54</v>
      </c>
      <c r="P250" s="23">
        <f t="shared" si="45"/>
        <v>-8.9397461112095122E-4</v>
      </c>
      <c r="Q250" s="23">
        <f t="shared" si="46"/>
        <v>-2.2950819672131195E-2</v>
      </c>
      <c r="R250" s="23">
        <f t="shared" si="47"/>
        <v>6.1538461538461764E-3</v>
      </c>
      <c r="S250" s="23">
        <f t="shared" si="48"/>
        <v>2.9250457038391131E-2</v>
      </c>
      <c r="T250" s="23">
        <f t="shared" si="49"/>
        <v>3.2996632996632913E-2</v>
      </c>
      <c r="U250" s="23">
        <f t="shared" si="50"/>
        <v>1.3453572345027087E-2</v>
      </c>
      <c r="V250" s="23">
        <f t="shared" si="51"/>
        <v>2.6576700633434314E-2</v>
      </c>
      <c r="W250" s="23">
        <f t="shared" si="52"/>
        <v>1.2463682681375987E-2</v>
      </c>
      <c r="X250" s="23">
        <f t="shared" si="53"/>
        <v>-3.044875160118643E-4</v>
      </c>
      <c r="Y250" s="23">
        <f t="shared" si="54"/>
        <v>1.4114671594383177E-2</v>
      </c>
    </row>
    <row r="251" spans="1:25" x14ac:dyDescent="0.3">
      <c r="A251" s="2">
        <f t="shared" si="42"/>
        <v>248</v>
      </c>
      <c r="B251" s="3">
        <v>45296</v>
      </c>
      <c r="C251" s="13">
        <f t="shared" si="43"/>
        <v>2024</v>
      </c>
      <c r="D251" s="13">
        <f t="shared" si="44"/>
        <v>1</v>
      </c>
      <c r="E251" s="24">
        <v>16.866</v>
      </c>
      <c r="F251" s="25">
        <v>55.93</v>
      </c>
      <c r="G251" s="25">
        <v>42.7</v>
      </c>
      <c r="H251" s="25">
        <v>13</v>
      </c>
      <c r="I251" s="25">
        <v>229.74</v>
      </c>
      <c r="J251" s="25">
        <v>14.85</v>
      </c>
      <c r="K251" s="25">
        <v>272.79000000000002</v>
      </c>
      <c r="L251" s="25">
        <v>145.24</v>
      </c>
      <c r="M251" s="25">
        <v>237.49</v>
      </c>
      <c r="N251" s="25">
        <v>56192.78</v>
      </c>
      <c r="O251" s="25">
        <v>4697.24</v>
      </c>
      <c r="P251" s="23">
        <f t="shared" si="45"/>
        <v>1.4695210449927387E-2</v>
      </c>
      <c r="Q251" s="23">
        <f t="shared" si="46"/>
        <v>3.6659383345472252E-2</v>
      </c>
      <c r="R251" s="23">
        <f t="shared" si="47"/>
        <v>2.6045777426992878E-2</v>
      </c>
      <c r="S251" s="23">
        <f t="shared" si="48"/>
        <v>-1.6946943032198902E-3</v>
      </c>
      <c r="T251" s="23">
        <f t="shared" si="49"/>
        <v>3.3783783783782884E-3</v>
      </c>
      <c r="U251" s="23">
        <f t="shared" si="50"/>
        <v>-2.9317990251764847E-4</v>
      </c>
      <c r="V251" s="23">
        <f t="shared" si="51"/>
        <v>4.6344331465726363E-3</v>
      </c>
      <c r="W251" s="23">
        <f t="shared" si="52"/>
        <v>-1.8492834026814231E-3</v>
      </c>
      <c r="X251" s="23">
        <f t="shared" si="53"/>
        <v>1.4182694737267632E-2</v>
      </c>
      <c r="Y251" s="23">
        <f t="shared" si="54"/>
        <v>1.8256737503945519E-3</v>
      </c>
    </row>
    <row r="252" spans="1:25" x14ac:dyDescent="0.3">
      <c r="A252" s="2">
        <f t="shared" si="42"/>
        <v>249</v>
      </c>
      <c r="B252" s="3">
        <v>45295</v>
      </c>
      <c r="C252" s="13">
        <f t="shared" si="43"/>
        <v>2024</v>
      </c>
      <c r="D252" s="13">
        <f t="shared" si="44"/>
        <v>1</v>
      </c>
      <c r="E252" s="24">
        <v>17.007999999999999</v>
      </c>
      <c r="F252" s="25">
        <v>55.12</v>
      </c>
      <c r="G252" s="25">
        <v>41.19</v>
      </c>
      <c r="H252" s="25">
        <v>12.67</v>
      </c>
      <c r="I252" s="25">
        <v>230.13</v>
      </c>
      <c r="J252" s="25">
        <v>14.8</v>
      </c>
      <c r="K252" s="25">
        <v>272.87</v>
      </c>
      <c r="L252" s="25">
        <v>144.57</v>
      </c>
      <c r="M252" s="25">
        <v>237.93</v>
      </c>
      <c r="N252" s="25">
        <v>55406.96</v>
      </c>
      <c r="O252" s="25">
        <v>4688.68</v>
      </c>
      <c r="P252" s="23">
        <f t="shared" si="45"/>
        <v>-5.9513074842201252E-3</v>
      </c>
      <c r="Q252" s="23">
        <f t="shared" si="46"/>
        <v>-1.1044417767106851E-2</v>
      </c>
      <c r="R252" s="23">
        <f t="shared" si="47"/>
        <v>-7.8864353312302349E-4</v>
      </c>
      <c r="S252" s="23">
        <f t="shared" si="48"/>
        <v>-2.0223092643051777E-2</v>
      </c>
      <c r="T252" s="23">
        <f t="shared" si="49"/>
        <v>-2.3746701846965701E-2</v>
      </c>
      <c r="U252" s="23">
        <f t="shared" si="50"/>
        <v>-7.6900541965718716E-4</v>
      </c>
      <c r="V252" s="23">
        <f t="shared" si="51"/>
        <v>-2.6267932915740588E-2</v>
      </c>
      <c r="W252" s="23">
        <f t="shared" si="52"/>
        <v>-2.180750681484489E-3</v>
      </c>
      <c r="X252" s="23">
        <f t="shared" si="53"/>
        <v>-5.736574105311254E-3</v>
      </c>
      <c r="Y252" s="23">
        <f t="shared" si="54"/>
        <v>-3.4284062480738342E-3</v>
      </c>
    </row>
    <row r="253" spans="1:25" x14ac:dyDescent="0.3">
      <c r="A253" s="2">
        <f t="shared" si="42"/>
        <v>250</v>
      </c>
      <c r="B253" s="3">
        <v>45294</v>
      </c>
      <c r="C253" s="13">
        <f t="shared" si="43"/>
        <v>2024</v>
      </c>
      <c r="D253" s="13">
        <f t="shared" si="44"/>
        <v>1</v>
      </c>
      <c r="E253" s="24">
        <v>17.003</v>
      </c>
      <c r="F253" s="25">
        <v>55.45</v>
      </c>
      <c r="G253" s="25">
        <v>41.65</v>
      </c>
      <c r="H253" s="25">
        <v>12.68</v>
      </c>
      <c r="I253" s="25">
        <v>234.88</v>
      </c>
      <c r="J253" s="25">
        <v>15.16</v>
      </c>
      <c r="K253" s="25">
        <v>273.08</v>
      </c>
      <c r="L253" s="25">
        <v>148.47</v>
      </c>
      <c r="M253" s="25">
        <v>238.45</v>
      </c>
      <c r="N253" s="25">
        <v>55726.64</v>
      </c>
      <c r="O253" s="25">
        <v>4704.8100000000004</v>
      </c>
      <c r="P253" s="23">
        <f t="shared" si="45"/>
        <v>-2.1873346269183136E-2</v>
      </c>
      <c r="Q253" s="23">
        <f t="shared" si="46"/>
        <v>-3.5656401944894611E-2</v>
      </c>
      <c r="R253" s="23">
        <f t="shared" si="47"/>
        <v>-2.4615384615384595E-2</v>
      </c>
      <c r="S253" s="23">
        <f t="shared" si="48"/>
        <v>-5.3552000644719322E-2</v>
      </c>
      <c r="T253" s="23">
        <f t="shared" si="49"/>
        <v>-1.1089367253750759E-2</v>
      </c>
      <c r="U253" s="23">
        <f t="shared" si="50"/>
        <v>-2.47142857142858E-2</v>
      </c>
      <c r="V253" s="23">
        <f t="shared" si="51"/>
        <v>-9.7378776762490071E-3</v>
      </c>
      <c r="W253" s="23">
        <f t="shared" si="52"/>
        <v>-4.0133644634087418E-2</v>
      </c>
      <c r="X253" s="23">
        <f t="shared" si="53"/>
        <v>-2.2004042088829112E-2</v>
      </c>
      <c r="Y253" s="23">
        <f t="shared" si="54"/>
        <v>-8.0163109367190621E-3</v>
      </c>
    </row>
    <row r="254" spans="1:25" x14ac:dyDescent="0.3">
      <c r="A254" s="2">
        <f t="shared" si="42"/>
        <v>251</v>
      </c>
      <c r="B254" s="3">
        <v>45293</v>
      </c>
      <c r="C254" s="13">
        <f t="shared" si="43"/>
        <v>2024</v>
      </c>
      <c r="D254" s="13">
        <f t="shared" si="44"/>
        <v>1</v>
      </c>
      <c r="E254" s="24">
        <v>17.013999999999999</v>
      </c>
      <c r="F254" s="25">
        <v>56.69</v>
      </c>
      <c r="G254" s="25">
        <v>43.19</v>
      </c>
      <c r="H254" s="25">
        <v>13</v>
      </c>
      <c r="I254" s="25">
        <v>248.17</v>
      </c>
      <c r="J254" s="25">
        <v>15.33</v>
      </c>
      <c r="K254" s="25">
        <v>280</v>
      </c>
      <c r="L254" s="25">
        <v>149.93</v>
      </c>
      <c r="M254" s="25">
        <v>248.42</v>
      </c>
      <c r="N254" s="25">
        <v>56980.44</v>
      </c>
      <c r="O254" s="25">
        <v>4742.83</v>
      </c>
      <c r="P254" s="23">
        <f t="shared" si="45"/>
        <v>-7.528011204481766E-3</v>
      </c>
      <c r="Q254" s="23">
        <f t="shared" si="46"/>
        <v>-1.1670480549199169E-2</v>
      </c>
      <c r="R254" s="23">
        <f t="shared" si="47"/>
        <v>-1.6641452344931973E-2</v>
      </c>
      <c r="S254" s="23">
        <f t="shared" si="48"/>
        <v>-2.8198517563660097E-4</v>
      </c>
      <c r="T254" s="23">
        <f t="shared" si="49"/>
        <v>-4.1874999999999996E-2</v>
      </c>
      <c r="U254" s="23">
        <f t="shared" si="50"/>
        <v>-1.4812990394426628E-2</v>
      </c>
      <c r="V254" s="23">
        <f t="shared" si="51"/>
        <v>-1.3228906147163322E-2</v>
      </c>
      <c r="W254" s="23">
        <f t="shared" si="52"/>
        <v>-2.4146812620740032E-4</v>
      </c>
      <c r="X254" s="23">
        <f t="shared" si="53"/>
        <v>-7.0715545971378191E-3</v>
      </c>
      <c r="Y254" s="23">
        <f t="shared" si="54"/>
        <v>-5.6605790982068305E-3</v>
      </c>
    </row>
    <row r="255" spans="1:25" x14ac:dyDescent="0.3">
      <c r="A255" s="2">
        <f t="shared" si="42"/>
        <v>252</v>
      </c>
      <c r="B255" s="3">
        <v>45289</v>
      </c>
      <c r="C255" s="13">
        <f t="shared" si="43"/>
        <v>2023</v>
      </c>
      <c r="D255" s="13">
        <f t="shared" si="44"/>
        <v>12</v>
      </c>
      <c r="E255" s="24">
        <v>16.954000000000001</v>
      </c>
      <c r="F255" s="25">
        <v>57.12</v>
      </c>
      <c r="G255" s="25">
        <v>43.7</v>
      </c>
      <c r="H255" s="25">
        <v>13.22</v>
      </c>
      <c r="I255" s="25">
        <v>248.24</v>
      </c>
      <c r="J255" s="25">
        <v>16</v>
      </c>
      <c r="K255" s="25">
        <v>284.20999999999998</v>
      </c>
      <c r="L255" s="25">
        <v>151.94</v>
      </c>
      <c r="M255" s="25">
        <v>248.48</v>
      </c>
      <c r="N255" s="25">
        <v>57386.25</v>
      </c>
      <c r="O255" s="25">
        <v>4769.83</v>
      </c>
      <c r="P255" s="23">
        <f t="shared" si="45"/>
        <v>-1.3986013986014845E-3</v>
      </c>
      <c r="Q255" s="23">
        <f t="shared" si="46"/>
        <v>5.9852670349909154E-3</v>
      </c>
      <c r="R255" s="23">
        <f t="shared" si="47"/>
        <v>-1.4903129657227954E-2</v>
      </c>
      <c r="S255" s="23">
        <f t="shared" si="48"/>
        <v>-1.4333928925947981E-2</v>
      </c>
      <c r="T255" s="23">
        <f t="shared" si="49"/>
        <v>-9.2879256965943124E-3</v>
      </c>
      <c r="U255" s="23">
        <f t="shared" si="50"/>
        <v>-1.6509765350569694E-3</v>
      </c>
      <c r="V255" s="23">
        <f t="shared" si="51"/>
        <v>-9.3884469943930071E-3</v>
      </c>
      <c r="W255" s="23">
        <f t="shared" si="52"/>
        <v>-1.8563867604076245E-2</v>
      </c>
      <c r="X255" s="23">
        <f t="shared" si="53"/>
        <v>-1.3603200032298313E-3</v>
      </c>
      <c r="Y255" s="23">
        <f t="shared" si="54"/>
        <v>-2.8264709879060046E-3</v>
      </c>
    </row>
    <row r="256" spans="1:25" x14ac:dyDescent="0.3">
      <c r="A256" s="2">
        <v>253</v>
      </c>
      <c r="B256" s="3">
        <v>45288</v>
      </c>
      <c r="C256" s="13">
        <f t="shared" si="43"/>
        <v>2023</v>
      </c>
      <c r="D256" s="13">
        <f t="shared" si="44"/>
        <v>12</v>
      </c>
      <c r="E256" s="24">
        <v>16.928999999999998</v>
      </c>
      <c r="F256" s="25">
        <v>57.2</v>
      </c>
      <c r="G256" s="25">
        <v>43.44</v>
      </c>
      <c r="H256" s="25">
        <v>13.42</v>
      </c>
      <c r="I256" s="25">
        <v>251.85</v>
      </c>
      <c r="J256" s="25">
        <v>16.149999999999999</v>
      </c>
      <c r="K256" s="25">
        <v>284.68</v>
      </c>
      <c r="L256" s="25">
        <v>153.38</v>
      </c>
      <c r="M256" s="25">
        <v>253.18</v>
      </c>
      <c r="N256" s="25">
        <v>57464.42</v>
      </c>
      <c r="O256" s="25">
        <v>4783.3500000000004</v>
      </c>
      <c r="P256" s="23"/>
      <c r="Q256" s="23"/>
      <c r="R256" s="23"/>
      <c r="S256" s="23"/>
      <c r="T256" s="23"/>
      <c r="U256" s="23"/>
      <c r="V256" s="23"/>
      <c r="W256" s="23"/>
      <c r="X256" s="23"/>
      <c r="Y256" s="23"/>
    </row>
    <row r="258" spans="16:23" x14ac:dyDescent="0.3">
      <c r="P258" s="27"/>
      <c r="Q258" s="27"/>
      <c r="R258" s="27"/>
      <c r="S258" s="27"/>
      <c r="T258" s="27"/>
      <c r="U258" s="27"/>
      <c r="V258" s="27"/>
      <c r="W258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5CACE-6475-4775-9560-F658F631B514}">
  <sheetPr codeName="Hoja6"/>
  <dimension ref="A1:K19"/>
  <sheetViews>
    <sheetView topLeftCell="C6" zoomScale="150" zoomScaleNormal="150" workbookViewId="0">
      <selection activeCell="K18" sqref="K18"/>
    </sheetView>
  </sheetViews>
  <sheetFormatPr baseColWidth="10" defaultRowHeight="14.4" x14ac:dyDescent="0.3"/>
  <cols>
    <col min="1" max="1" width="17.88671875" bestFit="1" customWidth="1"/>
    <col min="2" max="2" width="17.88671875" customWidth="1"/>
    <col min="3" max="3" width="17.33203125" bestFit="1" customWidth="1"/>
    <col min="4" max="4" width="19.6640625" bestFit="1" customWidth="1"/>
    <col min="5" max="5" width="18.109375" bestFit="1" customWidth="1"/>
    <col min="6" max="6" width="13" bestFit="1" customWidth="1"/>
    <col min="7" max="7" width="14.6640625" customWidth="1"/>
    <col min="8" max="8" width="12.44140625" customWidth="1"/>
    <col min="9" max="9" width="14.109375" bestFit="1" customWidth="1"/>
    <col min="10" max="10" width="15.33203125" bestFit="1" customWidth="1"/>
  </cols>
  <sheetData>
    <row r="1" spans="1:10" s="1" customFormat="1" x14ac:dyDescent="0.3">
      <c r="A1" s="1" t="s">
        <v>0</v>
      </c>
      <c r="B1" s="1" t="s">
        <v>14</v>
      </c>
      <c r="C1" s="1" t="s">
        <v>1</v>
      </c>
      <c r="D1" s="1" t="s">
        <v>2</v>
      </c>
      <c r="E1" s="1" t="s">
        <v>4</v>
      </c>
      <c r="F1" s="1" t="s">
        <v>3</v>
      </c>
      <c r="G1" s="1" t="s">
        <v>5</v>
      </c>
      <c r="H1" s="1" t="s">
        <v>53</v>
      </c>
      <c r="I1" s="1" t="s">
        <v>31</v>
      </c>
      <c r="J1" s="1" t="s">
        <v>15</v>
      </c>
    </row>
    <row r="2" spans="1:10" x14ac:dyDescent="0.3">
      <c r="A2" t="s">
        <v>59</v>
      </c>
      <c r="B2" s="16">
        <v>5000</v>
      </c>
      <c r="C2" s="4">
        <v>45657</v>
      </c>
      <c r="D2" s="3">
        <v>45792</v>
      </c>
      <c r="E2" s="13">
        <f t="shared" ref="E2:E9" si="0">+D2-C2</f>
        <v>135</v>
      </c>
      <c r="F2" s="14">
        <v>10</v>
      </c>
      <c r="G2" s="5"/>
      <c r="H2" s="6" cm="1">
        <f t="array" ref="H2">cete(F2,E2,CURVA)</f>
        <v>9.6394195056831524</v>
      </c>
      <c r="I2" s="28">
        <v>1</v>
      </c>
      <c r="J2" s="6">
        <f>H2*I2*B2</f>
        <v>48197.097528415761</v>
      </c>
    </row>
    <row r="3" spans="1:10" x14ac:dyDescent="0.3">
      <c r="A3" t="s">
        <v>60</v>
      </c>
      <c r="B3" s="16">
        <v>15000</v>
      </c>
      <c r="C3" s="4">
        <v>45657</v>
      </c>
      <c r="D3" s="3">
        <v>45813</v>
      </c>
      <c r="E3" s="13">
        <f t="shared" si="0"/>
        <v>156</v>
      </c>
      <c r="F3" s="14">
        <v>10</v>
      </c>
      <c r="G3" s="5"/>
      <c r="H3" s="6" cm="1">
        <f t="array" ref="H3">cete(F3,E3,CURVA)</f>
        <v>9.585745175289043</v>
      </c>
      <c r="I3" s="28">
        <v>1</v>
      </c>
      <c r="J3" s="6">
        <f t="shared" ref="J3:J17" si="1">H3*I3*B3</f>
        <v>143786.17762933564</v>
      </c>
    </row>
    <row r="4" spans="1:10" x14ac:dyDescent="0.3">
      <c r="A4" t="s">
        <v>61</v>
      </c>
      <c r="B4" s="16">
        <v>7000</v>
      </c>
      <c r="C4" s="4">
        <v>45657</v>
      </c>
      <c r="D4" s="3">
        <v>45827</v>
      </c>
      <c r="E4" s="13">
        <f t="shared" si="0"/>
        <v>170</v>
      </c>
      <c r="F4" s="14">
        <v>10</v>
      </c>
      <c r="G4" s="5"/>
      <c r="H4" s="6" cm="1">
        <f t="array" ref="H4">cete(F4,E4,CURVA)</f>
        <v>9.550306780283444</v>
      </c>
      <c r="I4" s="28">
        <v>1</v>
      </c>
      <c r="J4" s="6">
        <f t="shared" si="1"/>
        <v>66852.147461984103</v>
      </c>
    </row>
    <row r="5" spans="1:10" x14ac:dyDescent="0.3">
      <c r="A5" t="s">
        <v>62</v>
      </c>
      <c r="B5" s="16">
        <v>2000</v>
      </c>
      <c r="C5" s="4">
        <v>45657</v>
      </c>
      <c r="D5" s="3">
        <v>45834</v>
      </c>
      <c r="E5" s="13">
        <f t="shared" si="0"/>
        <v>177</v>
      </c>
      <c r="F5" s="14">
        <v>10</v>
      </c>
      <c r="G5" s="5"/>
      <c r="H5" s="6" cm="1">
        <f t="array" ref="H5">cete(F5,E5,CURVA)</f>
        <v>9.5326897405945612</v>
      </c>
      <c r="I5" s="28">
        <v>1</v>
      </c>
      <c r="J5" s="6">
        <f t="shared" si="1"/>
        <v>19065.379481189124</v>
      </c>
    </row>
    <row r="6" spans="1:10" x14ac:dyDescent="0.3">
      <c r="A6" t="s">
        <v>6</v>
      </c>
      <c r="B6" s="16">
        <v>1500</v>
      </c>
      <c r="C6" s="4">
        <v>45657</v>
      </c>
      <c r="D6" s="3">
        <v>46541</v>
      </c>
      <c r="E6" s="13">
        <f>+D6-C6</f>
        <v>884</v>
      </c>
      <c r="F6" s="14">
        <v>100</v>
      </c>
      <c r="G6" s="7">
        <v>7.4999999999999997E-2</v>
      </c>
      <c r="H6" s="6" cm="1">
        <f t="array" ref="H6">Bono(F6,G6,E6,CURVA)</f>
        <v>95.539359526739432</v>
      </c>
      <c r="I6" s="28">
        <v>1</v>
      </c>
      <c r="J6" s="6">
        <f t="shared" si="1"/>
        <v>143309.03929010915</v>
      </c>
    </row>
    <row r="7" spans="1:10" x14ac:dyDescent="0.3">
      <c r="A7" t="s">
        <v>7</v>
      </c>
      <c r="B7" s="16">
        <v>2000</v>
      </c>
      <c r="C7" s="4">
        <v>45657</v>
      </c>
      <c r="D7" s="3">
        <v>49999</v>
      </c>
      <c r="E7" s="13">
        <f t="shared" si="0"/>
        <v>4342</v>
      </c>
      <c r="F7" s="14">
        <v>100</v>
      </c>
      <c r="G7" s="7">
        <v>0.1</v>
      </c>
      <c r="H7" s="6" cm="1">
        <f t="array" ref="H7">Bono(F7,G7,E7,CURVA)</f>
        <v>97.50586716204208</v>
      </c>
      <c r="I7" s="28">
        <v>1</v>
      </c>
      <c r="J7" s="6">
        <f t="shared" si="1"/>
        <v>195011.73432408416</v>
      </c>
    </row>
    <row r="8" spans="1:10" x14ac:dyDescent="0.3">
      <c r="A8" t="s">
        <v>8</v>
      </c>
      <c r="B8" s="16">
        <v>2300</v>
      </c>
      <c r="C8" s="4">
        <v>45657</v>
      </c>
      <c r="D8" s="3">
        <v>52183</v>
      </c>
      <c r="E8" s="13">
        <f t="shared" si="0"/>
        <v>6526</v>
      </c>
      <c r="F8" s="14">
        <v>100</v>
      </c>
      <c r="G8" s="7">
        <v>7.7499999999999999E-2</v>
      </c>
      <c r="H8" s="6" cm="1">
        <f t="array" ref="H8">Bono(F8,G8,E8,CURVA)</f>
        <v>77.508905763253111</v>
      </c>
      <c r="I8" s="28">
        <v>1</v>
      </c>
      <c r="J8" s="6">
        <f t="shared" si="1"/>
        <v>178270.48325548216</v>
      </c>
    </row>
    <row r="9" spans="1:10" x14ac:dyDescent="0.3">
      <c r="A9" t="s">
        <v>9</v>
      </c>
      <c r="B9" s="16">
        <v>1700</v>
      </c>
      <c r="C9" s="4">
        <v>45657</v>
      </c>
      <c r="D9" s="3">
        <v>54003</v>
      </c>
      <c r="E9" s="13">
        <f t="shared" si="0"/>
        <v>8346</v>
      </c>
      <c r="F9" s="14">
        <v>100</v>
      </c>
      <c r="G9" s="7">
        <v>0.08</v>
      </c>
      <c r="H9" s="6" cm="1">
        <f t="array" ref="H9">Bono(F9,G9,E9,CURVA)</f>
        <v>77.469669137385637</v>
      </c>
      <c r="I9" s="28">
        <v>1</v>
      </c>
      <c r="J9" s="6">
        <f t="shared" si="1"/>
        <v>131698.43753355558</v>
      </c>
    </row>
    <row r="10" spans="1:10" x14ac:dyDescent="0.3">
      <c r="A10" t="s">
        <v>16</v>
      </c>
      <c r="B10" s="16">
        <v>3000</v>
      </c>
      <c r="C10" s="4">
        <v>45657</v>
      </c>
      <c r="D10" s="5"/>
      <c r="E10" s="5"/>
      <c r="F10" s="5"/>
      <c r="G10" s="5"/>
      <c r="H10" s="6">
        <f>'Mercado Accionario y TC'!F4</f>
        <v>49.58</v>
      </c>
      <c r="I10" s="28">
        <v>1</v>
      </c>
      <c r="J10" s="6">
        <f t="shared" si="1"/>
        <v>148740</v>
      </c>
    </row>
    <row r="11" spans="1:10" x14ac:dyDescent="0.3">
      <c r="A11" t="s">
        <v>17</v>
      </c>
      <c r="B11" s="16">
        <v>2800</v>
      </c>
      <c r="C11" s="4">
        <v>45657</v>
      </c>
      <c r="D11" s="5"/>
      <c r="E11" s="5"/>
      <c r="F11" s="5"/>
      <c r="G11" s="5"/>
      <c r="H11" s="6">
        <f>'Mercado Accionario y TC'!G4</f>
        <v>32.799999999999997</v>
      </c>
      <c r="I11" s="28">
        <v>1</v>
      </c>
      <c r="J11" s="6">
        <f t="shared" si="1"/>
        <v>91839.999999999985</v>
      </c>
    </row>
    <row r="12" spans="1:10" x14ac:dyDescent="0.3">
      <c r="A12" t="s">
        <v>18</v>
      </c>
      <c r="B12" s="16">
        <v>8800</v>
      </c>
      <c r="C12" s="4">
        <v>45657</v>
      </c>
      <c r="D12" s="5"/>
      <c r="E12" s="5"/>
      <c r="F12" s="5"/>
      <c r="G12" s="5"/>
      <c r="H12" s="6">
        <f>'Mercado Accionario y TC'!H4</f>
        <v>11.68</v>
      </c>
      <c r="I12" s="28">
        <v>1</v>
      </c>
      <c r="J12" s="6">
        <f t="shared" si="1"/>
        <v>102784</v>
      </c>
    </row>
    <row r="13" spans="1:10" x14ac:dyDescent="0.3">
      <c r="A13" t="s">
        <v>19</v>
      </c>
      <c r="B13" s="16">
        <v>1500</v>
      </c>
      <c r="C13" s="4">
        <v>45657</v>
      </c>
      <c r="D13" s="5"/>
      <c r="E13" s="5"/>
      <c r="F13" s="5"/>
      <c r="G13" s="5"/>
      <c r="H13" s="6">
        <f>'Mercado Accionario y TC'!I4</f>
        <v>266.2</v>
      </c>
      <c r="I13" s="28">
        <v>1</v>
      </c>
      <c r="J13" s="6">
        <f t="shared" si="1"/>
        <v>399300</v>
      </c>
    </row>
    <row r="14" spans="1:10" x14ac:dyDescent="0.3">
      <c r="A14" t="s">
        <v>20</v>
      </c>
      <c r="B14" s="16">
        <v>3000</v>
      </c>
      <c r="C14" s="4">
        <v>45657</v>
      </c>
      <c r="D14" s="5"/>
      <c r="E14" s="5"/>
      <c r="F14" s="5"/>
      <c r="G14" s="5"/>
      <c r="H14" s="6">
        <f>'Mercado Accionario y TC'!J4</f>
        <v>15.63</v>
      </c>
      <c r="I14" s="28">
        <v>1</v>
      </c>
      <c r="J14" s="6">
        <f t="shared" si="1"/>
        <v>46890</v>
      </c>
    </row>
    <row r="15" spans="1:10" x14ac:dyDescent="0.3">
      <c r="A15" t="s">
        <v>21</v>
      </c>
      <c r="B15" s="16">
        <v>700</v>
      </c>
      <c r="C15" s="4">
        <v>45657</v>
      </c>
      <c r="D15" s="5"/>
      <c r="E15" s="5"/>
      <c r="F15" s="5"/>
      <c r="G15" s="5"/>
      <c r="H15" s="6">
        <f>'Mercado Accionario y TC'!K4</f>
        <v>366.54</v>
      </c>
      <c r="I15" s="28">
        <v>1</v>
      </c>
      <c r="J15" s="6">
        <f t="shared" si="1"/>
        <v>256578</v>
      </c>
    </row>
    <row r="16" spans="1:10" x14ac:dyDescent="0.3">
      <c r="A16" t="s">
        <v>22</v>
      </c>
      <c r="B16" s="16">
        <v>300</v>
      </c>
      <c r="C16" s="4">
        <v>45657</v>
      </c>
      <c r="D16" s="5"/>
      <c r="E16" s="5"/>
      <c r="F16" s="5"/>
      <c r="G16" s="5"/>
      <c r="H16" s="6">
        <f>'Mercado Accionario y TC'!L4</f>
        <v>219.39</v>
      </c>
      <c r="I16" s="39">
        <f>Factores!C4</f>
        <v>20.819700000000001</v>
      </c>
      <c r="J16" s="6">
        <f t="shared" si="1"/>
        <v>1370290.1949</v>
      </c>
    </row>
    <row r="17" spans="1:11" x14ac:dyDescent="0.3">
      <c r="A17" t="s">
        <v>23</v>
      </c>
      <c r="B17" s="16">
        <v>250</v>
      </c>
      <c r="C17" s="4">
        <v>45657</v>
      </c>
      <c r="D17" s="5"/>
      <c r="E17" s="5"/>
      <c r="F17" s="5"/>
      <c r="G17" s="5"/>
      <c r="H17" s="6">
        <f>'Mercado Accionario y TC'!M4</f>
        <v>403.84</v>
      </c>
      <c r="I17" s="39">
        <f>Factores!C4</f>
        <v>20.819700000000001</v>
      </c>
      <c r="J17" s="6">
        <f t="shared" si="1"/>
        <v>2101956.912</v>
      </c>
    </row>
    <row r="18" spans="1:11" ht="15" thickBot="1" x14ac:dyDescent="0.35">
      <c r="J18" s="15">
        <f>+SUM(J2:J17)</f>
        <v>5444569.603404155</v>
      </c>
      <c r="K18" t="s">
        <v>65</v>
      </c>
    </row>
    <row r="19" spans="1:11" ht="15" thickTop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A7907-002D-4C04-9DA9-C377ADEB6364}">
  <sheetPr codeName="Hoja8"/>
  <dimension ref="A1:P23"/>
  <sheetViews>
    <sheetView tabSelected="1" topLeftCell="H1" zoomScale="126" zoomScaleNormal="126" workbookViewId="0">
      <selection activeCell="N2" sqref="N2"/>
    </sheetView>
  </sheetViews>
  <sheetFormatPr baseColWidth="10" defaultRowHeight="14.4" x14ac:dyDescent="0.3"/>
  <cols>
    <col min="1" max="1" width="17.88671875" bestFit="1" customWidth="1"/>
    <col min="2" max="2" width="17.88671875" customWidth="1"/>
    <col min="3" max="3" width="17.33203125" bestFit="1" customWidth="1"/>
    <col min="4" max="4" width="19.6640625" bestFit="1" customWidth="1"/>
    <col min="5" max="5" width="18.109375" bestFit="1" customWidth="1"/>
    <col min="6" max="6" width="13" bestFit="1" customWidth="1"/>
    <col min="7" max="7" width="14.6640625" customWidth="1"/>
    <col min="8" max="8" width="13.6640625" bestFit="1" customWidth="1"/>
    <col min="9" max="9" width="12.44140625" customWidth="1"/>
    <col min="10" max="10" width="15.6640625" bestFit="1" customWidth="1"/>
    <col min="11" max="11" width="14.109375" bestFit="1" customWidth="1"/>
    <col min="12" max="12" width="15.33203125" bestFit="1" customWidth="1"/>
    <col min="14" max="14" width="20.44140625" bestFit="1" customWidth="1"/>
    <col min="15" max="15" width="16" customWidth="1"/>
  </cols>
  <sheetData>
    <row r="1" spans="1:16" s="1" customFormat="1" x14ac:dyDescent="0.3">
      <c r="A1" s="1" t="s">
        <v>0</v>
      </c>
      <c r="B1" s="1" t="s">
        <v>14</v>
      </c>
      <c r="C1" s="1" t="s">
        <v>1</v>
      </c>
      <c r="D1" s="1" t="s">
        <v>2</v>
      </c>
      <c r="E1" s="1" t="s">
        <v>4</v>
      </c>
      <c r="F1" s="1" t="s">
        <v>3</v>
      </c>
      <c r="G1" s="1" t="s">
        <v>5</v>
      </c>
      <c r="H1" s="1" t="s">
        <v>46</v>
      </c>
      <c r="I1" s="1" t="s">
        <v>40</v>
      </c>
      <c r="J1" s="1" t="s">
        <v>47</v>
      </c>
      <c r="K1" s="1" t="s">
        <v>31</v>
      </c>
      <c r="L1" s="1" t="s">
        <v>15</v>
      </c>
      <c r="N1" s="47" t="s">
        <v>67</v>
      </c>
      <c r="O1" s="47"/>
    </row>
    <row r="2" spans="1:16" x14ac:dyDescent="0.3">
      <c r="A2" t="s">
        <v>59</v>
      </c>
      <c r="B2" s="16">
        <v>5000</v>
      </c>
      <c r="C2" s="4">
        <v>45657</v>
      </c>
      <c r="D2" s="3">
        <v>45792</v>
      </c>
      <c r="E2" s="13">
        <f t="shared" ref="E2:E9" si="0">+D2-C2</f>
        <v>135</v>
      </c>
      <c r="F2" s="14">
        <v>10</v>
      </c>
      <c r="G2" s="5"/>
      <c r="H2" s="6">
        <f>'Portafolio Base'!H2</f>
        <v>9.6394195056831524</v>
      </c>
      <c r="I2" s="5"/>
      <c r="J2" s="6" cm="1">
        <f t="array" ref="J2">cete(F2,E2,Factores!$I$15:$L$36)</f>
        <v>9.5943336498057672</v>
      </c>
      <c r="K2" s="28">
        <v>1</v>
      </c>
      <c r="L2" s="6">
        <f>J2*K2*B2</f>
        <v>47971.668249028837</v>
      </c>
      <c r="N2" t="s">
        <v>49</v>
      </c>
      <c r="O2" s="26">
        <f>SUMPRODUCT(B2:B9,J2:J9)-SUMPRODUCT(B2:B9,H2:H9)</f>
        <v>-53284.39321726549</v>
      </c>
      <c r="P2" s="23"/>
    </row>
    <row r="3" spans="1:16" x14ac:dyDescent="0.3">
      <c r="A3" t="s">
        <v>60</v>
      </c>
      <c r="B3" s="16">
        <v>15000</v>
      </c>
      <c r="C3" s="4">
        <v>45657</v>
      </c>
      <c r="D3" s="3">
        <v>45813</v>
      </c>
      <c r="E3" s="13">
        <f t="shared" si="0"/>
        <v>156</v>
      </c>
      <c r="F3" s="14">
        <v>10</v>
      </c>
      <c r="G3" s="5"/>
      <c r="H3" s="6">
        <f>'Portafolio Base'!H3</f>
        <v>9.585745175289043</v>
      </c>
      <c r="I3" s="5"/>
      <c r="J3" s="6" cm="1">
        <f t="array" ref="J3">cete(F3,E3,Factores!$I$15:$L$36)</f>
        <v>9.5342604569271625</v>
      </c>
      <c r="K3" s="28">
        <v>1</v>
      </c>
      <c r="L3" s="6">
        <f t="shared" ref="L3:L17" si="1">J3*K3*B3</f>
        <v>143013.90685390745</v>
      </c>
      <c r="N3" t="s">
        <v>50</v>
      </c>
      <c r="O3" s="26">
        <f>SUMPRODUCT(B10:B15,J10:J15)-SUMPRODUCT(B10:B15,H10:H15)</f>
        <v>-368435.38843811955</v>
      </c>
      <c r="P3" s="23"/>
    </row>
    <row r="4" spans="1:16" x14ac:dyDescent="0.3">
      <c r="A4" t="s">
        <v>61</v>
      </c>
      <c r="B4" s="16">
        <v>7000</v>
      </c>
      <c r="C4" s="4">
        <v>45657</v>
      </c>
      <c r="D4" s="3">
        <v>45827</v>
      </c>
      <c r="E4" s="13">
        <f t="shared" si="0"/>
        <v>170</v>
      </c>
      <c r="F4" s="14">
        <v>10</v>
      </c>
      <c r="G4" s="5"/>
      <c r="H4" s="6">
        <f>'Portafolio Base'!H4</f>
        <v>9.550306780283444</v>
      </c>
      <c r="I4" s="5"/>
      <c r="J4" s="6" cm="1">
        <f t="array" ref="J4">cete(F4,E4,Factores!$I$15:$L$36)</f>
        <v>9.4946413386192248</v>
      </c>
      <c r="K4" s="28">
        <v>1</v>
      </c>
      <c r="L4" s="6">
        <f t="shared" si="1"/>
        <v>66462.489370334573</v>
      </c>
      <c r="N4" t="s">
        <v>51</v>
      </c>
      <c r="O4" s="26">
        <f>(SUMPRODUCT(B16:B17,J16:J17)-SUMPRODUCT(B16:B17,H16:H17))*Factores!J4</f>
        <v>-1729941.8261095881</v>
      </c>
      <c r="P4" s="23"/>
    </row>
    <row r="5" spans="1:16" x14ac:dyDescent="0.3">
      <c r="A5" t="s">
        <v>62</v>
      </c>
      <c r="B5" s="16">
        <v>2000</v>
      </c>
      <c r="C5" s="4">
        <v>45657</v>
      </c>
      <c r="D5" s="3">
        <v>45834</v>
      </c>
      <c r="E5" s="13">
        <f t="shared" si="0"/>
        <v>177</v>
      </c>
      <c r="F5" s="14">
        <v>10</v>
      </c>
      <c r="G5" s="5"/>
      <c r="H5" s="6">
        <f>'Portafolio Base'!H5</f>
        <v>9.5326897405945612</v>
      </c>
      <c r="I5" s="5"/>
      <c r="J5" s="6" cm="1">
        <f t="array" ref="J5">cete(F5,E5,Factores!$I$15:$L$36)</f>
        <v>9.4749590281774001</v>
      </c>
      <c r="K5" s="28">
        <v>1</v>
      </c>
      <c r="L5" s="6">
        <f t="shared" si="1"/>
        <v>18949.9180563548</v>
      </c>
      <c r="N5" t="s">
        <v>52</v>
      </c>
      <c r="O5" s="36">
        <f>SUMPRODUCT(H16:H17,B16:B17)*(Factores!J4-Factores!C4)</f>
        <v>694449.42138000007</v>
      </c>
      <c r="P5" s="23"/>
    </row>
    <row r="6" spans="1:16" ht="15" thickBot="1" x14ac:dyDescent="0.35">
      <c r="A6" t="s">
        <v>6</v>
      </c>
      <c r="B6" s="16">
        <v>1500</v>
      </c>
      <c r="C6" s="4">
        <v>45657</v>
      </c>
      <c r="D6" s="3">
        <v>46541</v>
      </c>
      <c r="E6" s="13">
        <f t="shared" si="0"/>
        <v>884</v>
      </c>
      <c r="F6" s="14">
        <v>100</v>
      </c>
      <c r="G6" s="7">
        <v>7.4999999999999997E-2</v>
      </c>
      <c r="H6" s="6">
        <f>'Portafolio Base'!H6</f>
        <v>95.539359526739432</v>
      </c>
      <c r="I6" s="5"/>
      <c r="J6" s="6" cm="1">
        <f t="array" ref="J6">Bono(F6,G6,E6,Factores!$I$15:$L$36)</f>
        <v>92.898597115137548</v>
      </c>
      <c r="K6" s="28">
        <v>1</v>
      </c>
      <c r="L6" s="6">
        <f t="shared" si="1"/>
        <v>139347.89567270633</v>
      </c>
      <c r="O6" s="45">
        <f>+SUM(O2:O5)</f>
        <v>-1457212.1863849731</v>
      </c>
    </row>
    <row r="7" spans="1:16" ht="15" thickTop="1" x14ac:dyDescent="0.3">
      <c r="A7" t="s">
        <v>7</v>
      </c>
      <c r="B7" s="16">
        <v>2000</v>
      </c>
      <c r="C7" s="4">
        <v>45657</v>
      </c>
      <c r="D7" s="3">
        <v>49999</v>
      </c>
      <c r="E7" s="13">
        <f t="shared" si="0"/>
        <v>4342</v>
      </c>
      <c r="F7" s="14">
        <v>100</v>
      </c>
      <c r="G7" s="7">
        <v>0.1</v>
      </c>
      <c r="H7" s="6">
        <f>'Portafolio Base'!H7</f>
        <v>97.50586716204208</v>
      </c>
      <c r="I7" s="5"/>
      <c r="J7" s="6" cm="1">
        <f t="array" ref="J7">Bono(F7,G7,E7,Factores!$I$15:$L$36)</f>
        <v>89.433233014064911</v>
      </c>
      <c r="K7" s="28">
        <v>1</v>
      </c>
      <c r="L7" s="6">
        <f t="shared" si="1"/>
        <v>178866.46602812983</v>
      </c>
    </row>
    <row r="8" spans="1:16" x14ac:dyDescent="0.3">
      <c r="A8" t="s">
        <v>8</v>
      </c>
      <c r="B8" s="16">
        <v>2300</v>
      </c>
      <c r="C8" s="4">
        <v>45657</v>
      </c>
      <c r="D8" s="3">
        <v>52183</v>
      </c>
      <c r="E8" s="13">
        <f t="shared" si="0"/>
        <v>6526</v>
      </c>
      <c r="F8" s="14">
        <v>100</v>
      </c>
      <c r="G8" s="7">
        <v>7.7499999999999999E-2</v>
      </c>
      <c r="H8" s="6">
        <f>'Portafolio Base'!H8</f>
        <v>77.508905763253111</v>
      </c>
      <c r="I8" s="5"/>
      <c r="J8" s="6" cm="1">
        <f t="array" ref="J8">Bono(F8,G8,E8,Factores!$I$15:$L$36)</f>
        <v>69.721318463688064</v>
      </c>
      <c r="K8" s="28">
        <v>1</v>
      </c>
      <c r="L8" s="6">
        <f t="shared" si="1"/>
        <v>160359.03246648255</v>
      </c>
    </row>
    <row r="9" spans="1:16" x14ac:dyDescent="0.3">
      <c r="A9" t="s">
        <v>9</v>
      </c>
      <c r="B9" s="16">
        <v>1700</v>
      </c>
      <c r="C9" s="4">
        <v>45657</v>
      </c>
      <c r="D9" s="3">
        <v>54003</v>
      </c>
      <c r="E9" s="13">
        <f t="shared" si="0"/>
        <v>8346</v>
      </c>
      <c r="F9" s="14">
        <v>100</v>
      </c>
      <c r="G9" s="7">
        <v>0.08</v>
      </c>
      <c r="H9" s="6">
        <f>'Portafolio Base'!H9</f>
        <v>77.469669137385637</v>
      </c>
      <c r="I9" s="5"/>
      <c r="J9" s="6" cm="1">
        <f t="array" ref="J9">Bono(F9,G9,E9,Factores!$I$15:$L$36)</f>
        <v>69.37336858232112</v>
      </c>
      <c r="K9" s="28">
        <v>1</v>
      </c>
      <c r="L9" s="6">
        <f t="shared" si="1"/>
        <v>117934.7265899459</v>
      </c>
    </row>
    <row r="10" spans="1:16" x14ac:dyDescent="0.3">
      <c r="A10" t="s">
        <v>16</v>
      </c>
      <c r="B10" s="16">
        <v>3000</v>
      </c>
      <c r="C10" s="4">
        <v>45657</v>
      </c>
      <c r="D10" s="5"/>
      <c r="E10" s="5"/>
      <c r="F10" s="5"/>
      <c r="G10" s="5"/>
      <c r="H10" s="6">
        <f>'Portafolio Base'!H10</f>
        <v>49.58</v>
      </c>
      <c r="I10" s="34">
        <f>Factores!O4</f>
        <v>0.96310170503036663</v>
      </c>
      <c r="J10" s="6">
        <f>H10*(1+I10*Factores!$I$7)</f>
        <v>35.254825239378327</v>
      </c>
      <c r="K10" s="28">
        <v>1</v>
      </c>
      <c r="L10" s="6">
        <f t="shared" si="1"/>
        <v>105764.47571813499</v>
      </c>
      <c r="M10" s="35"/>
    </row>
    <row r="11" spans="1:16" x14ac:dyDescent="0.3">
      <c r="A11" t="s">
        <v>17</v>
      </c>
      <c r="B11" s="16">
        <v>2800</v>
      </c>
      <c r="C11" s="4">
        <v>45657</v>
      </c>
      <c r="D11" s="5"/>
      <c r="E11" s="5"/>
      <c r="F11" s="5"/>
      <c r="G11" s="5"/>
      <c r="H11" s="6">
        <f>'Portafolio Base'!H11</f>
        <v>32.799999999999997</v>
      </c>
      <c r="I11" s="34">
        <f>Factores!O5</f>
        <v>0.77710812504915128</v>
      </c>
      <c r="J11" s="6">
        <f>H11*(1+I11*Factores!$I$7)</f>
        <v>25.153256049516347</v>
      </c>
      <c r="K11" s="28">
        <v>1</v>
      </c>
      <c r="L11" s="6">
        <f t="shared" si="1"/>
        <v>70429.116938645777</v>
      </c>
      <c r="M11" s="35"/>
    </row>
    <row r="12" spans="1:16" x14ac:dyDescent="0.3">
      <c r="A12" t="s">
        <v>18</v>
      </c>
      <c r="B12" s="16">
        <v>8800</v>
      </c>
      <c r="C12" s="4">
        <v>45657</v>
      </c>
      <c r="D12" s="5"/>
      <c r="E12" s="5"/>
      <c r="F12" s="5"/>
      <c r="G12" s="5"/>
      <c r="H12" s="6">
        <f>'Portafolio Base'!H12</f>
        <v>11.68</v>
      </c>
      <c r="I12" s="34">
        <f>Factores!O6</f>
        <v>1.0969929567339411</v>
      </c>
      <c r="J12" s="6">
        <f>H12*(1+I12*Factores!$I$7)</f>
        <v>7.8361366796042695</v>
      </c>
      <c r="K12" s="28">
        <v>1</v>
      </c>
      <c r="L12" s="6">
        <f t="shared" si="1"/>
        <v>68958.002780517578</v>
      </c>
      <c r="M12" s="35"/>
    </row>
    <row r="13" spans="1:16" x14ac:dyDescent="0.3">
      <c r="A13" t="s">
        <v>19</v>
      </c>
      <c r="B13" s="16">
        <v>1500</v>
      </c>
      <c r="C13" s="4">
        <v>45657</v>
      </c>
      <c r="D13" s="5"/>
      <c r="E13" s="5"/>
      <c r="F13" s="5"/>
      <c r="G13" s="5"/>
      <c r="H13" s="6">
        <f>'Portafolio Base'!H13</f>
        <v>266.2</v>
      </c>
      <c r="I13" s="34">
        <f>Factores!O7</f>
        <v>1.521666372866586</v>
      </c>
      <c r="J13" s="6">
        <f>H13*(1+I13*Factores!$I$7)</f>
        <v>144.67972346287445</v>
      </c>
      <c r="K13" s="28">
        <v>1</v>
      </c>
      <c r="L13" s="6">
        <f t="shared" si="1"/>
        <v>217019.58519431169</v>
      </c>
      <c r="M13" s="35"/>
    </row>
    <row r="14" spans="1:16" x14ac:dyDescent="0.3">
      <c r="A14" t="s">
        <v>20</v>
      </c>
      <c r="B14" s="16">
        <v>3000</v>
      </c>
      <c r="C14" s="4">
        <v>45657</v>
      </c>
      <c r="D14" s="5"/>
      <c r="E14" s="5"/>
      <c r="F14" s="5"/>
      <c r="G14" s="5"/>
      <c r="H14" s="6">
        <f>'Portafolio Base'!H14</f>
        <v>15.63</v>
      </c>
      <c r="I14" s="34">
        <f>Factores!O8</f>
        <v>0.53666746880948446</v>
      </c>
      <c r="J14" s="6">
        <f>H14*(1+I14*Factores!$I$7)</f>
        <v>13.113566238752329</v>
      </c>
      <c r="K14" s="28">
        <v>1</v>
      </c>
      <c r="L14" s="6">
        <f t="shared" si="1"/>
        <v>39340.698716256986</v>
      </c>
      <c r="M14" s="35"/>
    </row>
    <row r="15" spans="1:16" x14ac:dyDescent="0.3">
      <c r="A15" t="s">
        <v>21</v>
      </c>
      <c r="B15" s="16">
        <v>700</v>
      </c>
      <c r="C15" s="4">
        <v>45657</v>
      </c>
      <c r="D15" s="5"/>
      <c r="E15" s="5"/>
      <c r="F15" s="5"/>
      <c r="G15" s="5"/>
      <c r="H15" s="6">
        <f>'Portafolio Base'!H15</f>
        <v>366.54</v>
      </c>
      <c r="I15" s="34">
        <f>Factores!O9</f>
        <v>1.0444292156249639</v>
      </c>
      <c r="J15" s="6">
        <f>H15*(1+I15*Factores!$I$7)</f>
        <v>251.69247459144773</v>
      </c>
      <c r="K15" s="28">
        <v>1</v>
      </c>
      <c r="L15" s="6">
        <f t="shared" si="1"/>
        <v>176184.73221401341</v>
      </c>
      <c r="M15" s="35"/>
    </row>
    <row r="16" spans="1:16" x14ac:dyDescent="0.3">
      <c r="A16" t="s">
        <v>22</v>
      </c>
      <c r="B16" s="16">
        <v>300</v>
      </c>
      <c r="C16" s="4">
        <v>45657</v>
      </c>
      <c r="D16" s="5"/>
      <c r="E16" s="5"/>
      <c r="F16" s="5"/>
      <c r="G16" s="5"/>
      <c r="H16" s="6">
        <f>'Portafolio Base'!H16</f>
        <v>219.39</v>
      </c>
      <c r="I16" s="34">
        <f>Factores!O10</f>
        <v>1.5594122139801483</v>
      </c>
      <c r="J16" s="6">
        <f>H16*(1+I16*Factores!$I$8)</f>
        <v>150.96611087497905</v>
      </c>
      <c r="K16" s="28">
        <f>Factores!J4</f>
        <v>24.983640000000001</v>
      </c>
      <c r="L16" s="6">
        <f t="shared" si="1"/>
        <v>1131504.8898901686</v>
      </c>
      <c r="M16" s="35"/>
    </row>
    <row r="17" spans="1:13" x14ac:dyDescent="0.3">
      <c r="A17" t="s">
        <v>23</v>
      </c>
      <c r="B17" s="16">
        <v>250</v>
      </c>
      <c r="C17" s="4">
        <v>45657</v>
      </c>
      <c r="D17" s="5"/>
      <c r="E17" s="5"/>
      <c r="F17" s="5"/>
      <c r="G17" s="5"/>
      <c r="H17" s="6">
        <f>'Portafolio Base'!H17</f>
        <v>403.84</v>
      </c>
      <c r="I17" s="34">
        <f>Factores!O11</f>
        <v>2.4126297007076736</v>
      </c>
      <c r="J17" s="6">
        <f>H17*(1+I17*Factores!$I$8)</f>
        <v>208.9767243332426</v>
      </c>
      <c r="K17" s="28">
        <f>Factores!J4</f>
        <v>24.983640000000001</v>
      </c>
      <c r="L17" s="6">
        <f t="shared" si="1"/>
        <v>1305249.8122802433</v>
      </c>
      <c r="M17" s="35"/>
    </row>
    <row r="18" spans="1:13" ht="15" thickBot="1" x14ac:dyDescent="0.35">
      <c r="L18" s="15">
        <f>+SUM(L2:L17)</f>
        <v>3987357.4170191819</v>
      </c>
    </row>
    <row r="19" spans="1:13" ht="15" thickTop="1" x14ac:dyDescent="0.3"/>
    <row r="20" spans="1:13" ht="15" thickBot="1" x14ac:dyDescent="0.35">
      <c r="H20" s="2"/>
      <c r="K20" s="29" t="s">
        <v>48</v>
      </c>
      <c r="L20" s="15">
        <f>+'Portafolio Base'!J18</f>
        <v>5444569.603404155</v>
      </c>
    </row>
    <row r="21" spans="1:13" ht="15" thickTop="1" x14ac:dyDescent="0.3">
      <c r="H21" s="2"/>
      <c r="L21" t="s">
        <v>66</v>
      </c>
    </row>
    <row r="22" spans="1:13" x14ac:dyDescent="0.3">
      <c r="L22" s="37">
        <f>+L18-L20</f>
        <v>-1457212.1863849731</v>
      </c>
    </row>
    <row r="23" spans="1:13" x14ac:dyDescent="0.3">
      <c r="L23" s="38">
        <f>+L18/L20-1</f>
        <v>-0.26764506518088549</v>
      </c>
    </row>
  </sheetData>
  <mergeCells count="1">
    <mergeCell ref="N1:O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Factores</vt:lpstr>
      <vt:lpstr>Mercado Accionario y TC</vt:lpstr>
      <vt:lpstr>Portafolio Base</vt:lpstr>
      <vt:lpstr>Portafolio Impactos</vt:lpstr>
      <vt:lpstr>CURVA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DENILSON SOTO LUNA</cp:lastModifiedBy>
  <cp:lastPrinted>2021-04-06T05:21:06Z</cp:lastPrinted>
  <dcterms:created xsi:type="dcterms:W3CDTF">2021-03-24T23:46:32Z</dcterms:created>
  <dcterms:modified xsi:type="dcterms:W3CDTF">2025-03-19T01:25:27Z</dcterms:modified>
</cp:coreProperties>
</file>